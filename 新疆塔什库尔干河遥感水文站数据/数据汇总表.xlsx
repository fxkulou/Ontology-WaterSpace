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F:\工作空间\20231216-阶段0.5-流体空间确权登记方法研究——面向自然资源一体化管理的多维建模与表达\实验数据\北师大\新疆塔什库尔干河流域\新疆塔什库尔干河遥感水文站数据全部下载\"/>
    </mc:Choice>
  </mc:AlternateContent>
  <xr:revisionPtr revIDLastSave="0" documentId="13_ncr:1_{D72D009F-C086-4FDD-9A83-A20C7C2DCD6B}" xr6:coauthVersionLast="47" xr6:coauthVersionMax="47" xr10:uidLastSave="{00000000-0000-0000-0000-000000000000}"/>
  <bookViews>
    <workbookView xWindow="28680" yWindow="-1860" windowWidth="29040" windowHeight="17520" tabRatio="744" activeTab="5" xr2:uid="{00000000-000D-0000-FFFF-FFFF00000000}"/>
  </bookViews>
  <sheets>
    <sheet name="2017112201p" sheetId="1" r:id="rId1"/>
    <sheet name="2017112202-1" sheetId="2" r:id="rId2"/>
    <sheet name="2017112203P" sheetId="3" r:id="rId3"/>
    <sheet name="2017112204p" sheetId="4" r:id="rId4"/>
    <sheet name="2017112205" sheetId="5" r:id="rId5"/>
    <sheet name="2017112206p" sheetId="6" r:id="rId6"/>
    <sheet name="2017112301" sheetId="7" r:id="rId7"/>
    <sheet name="2017112302" sheetId="8" r:id="rId8"/>
    <sheet name="2017112303" sheetId="9" r:id="rId9"/>
    <sheet name="2017112304p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K23" i="1"/>
  <c r="K22" i="1"/>
  <c r="K21" i="1"/>
  <c r="K20" i="1"/>
  <c r="K19" i="1"/>
  <c r="K18" i="1"/>
  <c r="K17" i="1"/>
  <c r="K16" i="1"/>
  <c r="M2" i="2"/>
  <c r="N2" i="2"/>
  <c r="O2" i="2"/>
  <c r="P2" i="2"/>
  <c r="M3" i="2"/>
  <c r="N3" i="2"/>
  <c r="O3" i="2"/>
  <c r="P3" i="2"/>
  <c r="M4" i="2"/>
  <c r="N4" i="2"/>
  <c r="O4" i="2"/>
  <c r="P4" i="2"/>
  <c r="M5" i="2"/>
  <c r="N5" i="2"/>
  <c r="O5" i="2"/>
  <c r="P5" i="2"/>
  <c r="M6" i="2"/>
  <c r="N6" i="2"/>
  <c r="O6" i="2"/>
  <c r="P6" i="2"/>
  <c r="M7" i="2"/>
  <c r="N7" i="2"/>
  <c r="O7" i="2"/>
  <c r="P7" i="2"/>
  <c r="M8" i="2"/>
  <c r="N8" i="2"/>
  <c r="O8" i="2"/>
  <c r="P8" i="2"/>
  <c r="M9" i="2"/>
  <c r="N9" i="2"/>
  <c r="O9" i="2"/>
  <c r="P9" i="2"/>
  <c r="M10" i="2"/>
  <c r="N10" i="2"/>
  <c r="O10" i="2"/>
  <c r="P10" i="2"/>
  <c r="M11" i="2"/>
  <c r="N11" i="2"/>
  <c r="O11" i="2"/>
  <c r="P11" i="2"/>
  <c r="M12" i="2"/>
  <c r="N12" i="2"/>
  <c r="O12" i="2"/>
  <c r="P12" i="2"/>
  <c r="M13" i="2"/>
  <c r="N13" i="2"/>
  <c r="O13" i="2"/>
  <c r="P13" i="2"/>
  <c r="M14" i="2"/>
  <c r="N14" i="2"/>
  <c r="O14" i="2"/>
  <c r="P14" i="2"/>
  <c r="M15" i="2"/>
  <c r="N15" i="2"/>
  <c r="O15" i="2"/>
  <c r="P15" i="2"/>
  <c r="M16" i="2"/>
  <c r="N16" i="2"/>
  <c r="O16" i="2"/>
  <c r="P16" i="2"/>
  <c r="M17" i="2"/>
  <c r="N17" i="2"/>
  <c r="O17" i="2"/>
  <c r="P17" i="2"/>
  <c r="M18" i="2"/>
  <c r="N18" i="2"/>
  <c r="O18" i="2"/>
  <c r="P18" i="2"/>
  <c r="M19" i="2"/>
  <c r="N19" i="2"/>
  <c r="O19" i="2"/>
  <c r="P19" i="2"/>
  <c r="M20" i="2"/>
  <c r="N20" i="2"/>
  <c r="O20" i="2"/>
  <c r="P20" i="2"/>
  <c r="M21" i="2"/>
  <c r="N21" i="2"/>
  <c r="O21" i="2"/>
  <c r="P21" i="2"/>
  <c r="M22" i="2"/>
  <c r="N22" i="2"/>
  <c r="O22" i="2"/>
  <c r="P22" i="2"/>
  <c r="M23" i="2"/>
  <c r="N23" i="2"/>
  <c r="O23" i="2"/>
  <c r="P23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M2" i="3"/>
  <c r="N2" i="3"/>
  <c r="O2" i="3"/>
  <c r="P2" i="3"/>
  <c r="M3" i="3"/>
  <c r="N3" i="3"/>
  <c r="O3" i="3"/>
  <c r="P3" i="3"/>
  <c r="M4" i="3"/>
  <c r="N4" i="3"/>
  <c r="O4" i="3"/>
  <c r="P4" i="3"/>
  <c r="M5" i="3"/>
  <c r="N5" i="3"/>
  <c r="O5" i="3"/>
  <c r="P5" i="3"/>
  <c r="M6" i="3"/>
  <c r="N6" i="3"/>
  <c r="O6" i="3"/>
  <c r="P6" i="3"/>
  <c r="M7" i="3"/>
  <c r="N7" i="3"/>
  <c r="O7" i="3"/>
  <c r="P7" i="3"/>
  <c r="M8" i="3"/>
  <c r="N8" i="3"/>
  <c r="O8" i="3"/>
  <c r="P8" i="3"/>
  <c r="M9" i="3"/>
  <c r="N9" i="3"/>
  <c r="O9" i="3"/>
  <c r="P9" i="3"/>
  <c r="M10" i="3"/>
  <c r="N10" i="3"/>
  <c r="O10" i="3"/>
  <c r="P10" i="3"/>
  <c r="M11" i="3"/>
  <c r="N11" i="3"/>
  <c r="O11" i="3"/>
  <c r="P11" i="3"/>
  <c r="M12" i="3"/>
  <c r="N12" i="3"/>
  <c r="O12" i="3"/>
  <c r="P12" i="3"/>
  <c r="M13" i="3"/>
  <c r="N13" i="3"/>
  <c r="O13" i="3"/>
  <c r="P13" i="3"/>
  <c r="M14" i="3"/>
  <c r="N14" i="3"/>
  <c r="O14" i="3"/>
  <c r="P14" i="3"/>
  <c r="M15" i="3"/>
  <c r="N15" i="3"/>
  <c r="O15" i="3"/>
  <c r="P15" i="3"/>
  <c r="M16" i="3"/>
  <c r="N16" i="3"/>
  <c r="O16" i="3"/>
  <c r="P16" i="3"/>
  <c r="M17" i="3"/>
  <c r="N17" i="3"/>
  <c r="O17" i="3"/>
  <c r="P17" i="3"/>
  <c r="M18" i="3"/>
  <c r="N18" i="3"/>
  <c r="O18" i="3"/>
  <c r="P18" i="3"/>
  <c r="M19" i="3"/>
  <c r="N19" i="3"/>
  <c r="O19" i="3"/>
  <c r="P19" i="3"/>
  <c r="M20" i="3"/>
  <c r="N20" i="3"/>
  <c r="O20" i="3"/>
  <c r="P20" i="3"/>
  <c r="M21" i="3"/>
  <c r="N21" i="3"/>
  <c r="O21" i="3"/>
  <c r="P21" i="3"/>
  <c r="M22" i="3"/>
  <c r="N22" i="3"/>
  <c r="O22" i="3"/>
  <c r="P22" i="3"/>
  <c r="M23" i="3"/>
  <c r="N23" i="3"/>
  <c r="O23" i="3"/>
  <c r="P23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M2" i="4"/>
  <c r="N2" i="4"/>
  <c r="O2" i="4"/>
  <c r="P2" i="4"/>
  <c r="M3" i="4"/>
  <c r="N3" i="4"/>
  <c r="O3" i="4"/>
  <c r="P3" i="4"/>
  <c r="M4" i="4"/>
  <c r="N4" i="4"/>
  <c r="O4" i="4"/>
  <c r="P4" i="4"/>
  <c r="M5" i="4"/>
  <c r="N5" i="4"/>
  <c r="O5" i="4"/>
  <c r="P5" i="4"/>
  <c r="M6" i="4"/>
  <c r="N6" i="4"/>
  <c r="O6" i="4"/>
  <c r="P6" i="4"/>
  <c r="M7" i="4"/>
  <c r="N7" i="4"/>
  <c r="O7" i="4"/>
  <c r="P7" i="4"/>
  <c r="M8" i="4"/>
  <c r="N8" i="4"/>
  <c r="O8" i="4"/>
  <c r="P8" i="4"/>
  <c r="M9" i="4"/>
  <c r="N9" i="4"/>
  <c r="O9" i="4"/>
  <c r="P9" i="4"/>
  <c r="M10" i="4"/>
  <c r="N10" i="4"/>
  <c r="O10" i="4"/>
  <c r="P10" i="4"/>
  <c r="M11" i="4"/>
  <c r="N11" i="4"/>
  <c r="O11" i="4"/>
  <c r="P11" i="4"/>
  <c r="M12" i="4"/>
  <c r="N12" i="4"/>
  <c r="O12" i="4"/>
  <c r="P12" i="4"/>
  <c r="M13" i="4"/>
  <c r="N13" i="4"/>
  <c r="O13" i="4"/>
  <c r="P13" i="4"/>
  <c r="M14" i="4"/>
  <c r="N14" i="4"/>
  <c r="O14" i="4"/>
  <c r="P14" i="4"/>
  <c r="M15" i="4"/>
  <c r="N15" i="4"/>
  <c r="O15" i="4"/>
  <c r="P15" i="4"/>
  <c r="M16" i="4"/>
  <c r="N16" i="4"/>
  <c r="O16" i="4"/>
  <c r="P16" i="4"/>
  <c r="M17" i="4"/>
  <c r="N17" i="4"/>
  <c r="O17" i="4"/>
  <c r="P17" i="4"/>
  <c r="M18" i="4"/>
  <c r="N18" i="4"/>
  <c r="O18" i="4"/>
  <c r="P18" i="4"/>
  <c r="M19" i="4"/>
  <c r="N19" i="4"/>
  <c r="O19" i="4"/>
  <c r="P19" i="4"/>
  <c r="M20" i="4"/>
  <c r="N20" i="4"/>
  <c r="O20" i="4"/>
  <c r="P20" i="4"/>
  <c r="M21" i="4"/>
  <c r="N21" i="4"/>
  <c r="O21" i="4"/>
  <c r="P21" i="4"/>
  <c r="M22" i="4"/>
  <c r="N22" i="4"/>
  <c r="O22" i="4"/>
  <c r="P22" i="4"/>
  <c r="M23" i="4"/>
  <c r="N23" i="4"/>
  <c r="O23" i="4"/>
  <c r="P23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M2" i="6"/>
  <c r="N2" i="6"/>
  <c r="O2" i="6"/>
  <c r="P2" i="6"/>
  <c r="M3" i="6"/>
  <c r="N3" i="6"/>
  <c r="O3" i="6"/>
  <c r="P3" i="6"/>
  <c r="M4" i="6"/>
  <c r="N4" i="6"/>
  <c r="O4" i="6"/>
  <c r="P4" i="6"/>
  <c r="M5" i="6"/>
  <c r="N5" i="6"/>
  <c r="O5" i="6"/>
  <c r="P5" i="6"/>
  <c r="M6" i="6"/>
  <c r="N6" i="6"/>
  <c r="O6" i="6"/>
  <c r="P6" i="6"/>
  <c r="M7" i="6"/>
  <c r="N7" i="6"/>
  <c r="O7" i="6"/>
  <c r="P7" i="6"/>
  <c r="M8" i="6"/>
  <c r="N8" i="6"/>
  <c r="O8" i="6"/>
  <c r="P8" i="6"/>
  <c r="M9" i="6"/>
  <c r="N9" i="6"/>
  <c r="O9" i="6"/>
  <c r="P9" i="6"/>
  <c r="M10" i="6"/>
  <c r="N10" i="6"/>
  <c r="O10" i="6"/>
  <c r="P10" i="6"/>
  <c r="M11" i="6"/>
  <c r="N11" i="6"/>
  <c r="O11" i="6"/>
  <c r="P11" i="6"/>
  <c r="M12" i="6"/>
  <c r="N12" i="6"/>
  <c r="O12" i="6"/>
  <c r="P12" i="6"/>
  <c r="M13" i="6"/>
  <c r="N13" i="6"/>
  <c r="O13" i="6"/>
  <c r="P13" i="6"/>
  <c r="M14" i="6"/>
  <c r="N14" i="6"/>
  <c r="O14" i="6"/>
  <c r="P14" i="6"/>
  <c r="M15" i="6"/>
  <c r="N15" i="6"/>
  <c r="O15" i="6"/>
  <c r="P15" i="6"/>
  <c r="M16" i="6"/>
  <c r="N16" i="6"/>
  <c r="O16" i="6"/>
  <c r="P16" i="6"/>
  <c r="M17" i="6"/>
  <c r="N17" i="6"/>
  <c r="O17" i="6"/>
  <c r="P17" i="6"/>
  <c r="M18" i="6"/>
  <c r="N18" i="6"/>
  <c r="O18" i="6"/>
  <c r="P18" i="6"/>
  <c r="M19" i="6"/>
  <c r="N19" i="6"/>
  <c r="O19" i="6"/>
  <c r="P19" i="6"/>
  <c r="M20" i="6"/>
  <c r="N20" i="6"/>
  <c r="O20" i="6"/>
  <c r="P20" i="6"/>
  <c r="M21" i="6"/>
  <c r="N21" i="6"/>
  <c r="O21" i="6"/>
  <c r="P21" i="6"/>
  <c r="M22" i="6"/>
  <c r="N22" i="6"/>
  <c r="O22" i="6"/>
  <c r="P22" i="6"/>
  <c r="M23" i="6"/>
  <c r="N23" i="6"/>
  <c r="O23" i="6"/>
  <c r="P23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M2" i="5"/>
  <c r="N2" i="5"/>
  <c r="O2" i="5"/>
  <c r="P2" i="5"/>
  <c r="M3" i="5"/>
  <c r="N3" i="5"/>
  <c r="O3" i="5"/>
  <c r="P3" i="5"/>
  <c r="M4" i="5"/>
  <c r="N4" i="5"/>
  <c r="O4" i="5"/>
  <c r="P4" i="5"/>
  <c r="M5" i="5"/>
  <c r="N5" i="5"/>
  <c r="O5" i="5"/>
  <c r="P5" i="5"/>
  <c r="M6" i="5"/>
  <c r="N6" i="5"/>
  <c r="O6" i="5"/>
  <c r="P6" i="5"/>
  <c r="M7" i="5"/>
  <c r="N7" i="5"/>
  <c r="O7" i="5"/>
  <c r="P7" i="5"/>
  <c r="M8" i="5"/>
  <c r="N8" i="5"/>
  <c r="O8" i="5"/>
  <c r="P8" i="5"/>
  <c r="M9" i="5"/>
  <c r="N9" i="5"/>
  <c r="O9" i="5"/>
  <c r="P9" i="5"/>
  <c r="M10" i="5"/>
  <c r="N10" i="5"/>
  <c r="O10" i="5"/>
  <c r="P10" i="5"/>
  <c r="M11" i="5"/>
  <c r="N11" i="5"/>
  <c r="O11" i="5"/>
  <c r="P11" i="5"/>
  <c r="M12" i="5"/>
  <c r="N12" i="5"/>
  <c r="O12" i="5"/>
  <c r="P12" i="5"/>
  <c r="M13" i="5"/>
  <c r="N13" i="5"/>
  <c r="O13" i="5"/>
  <c r="P13" i="5"/>
  <c r="M14" i="5"/>
  <c r="N14" i="5"/>
  <c r="O14" i="5"/>
  <c r="P14" i="5"/>
  <c r="M15" i="5"/>
  <c r="N15" i="5"/>
  <c r="O15" i="5"/>
  <c r="P15" i="5"/>
  <c r="M16" i="5"/>
  <c r="N16" i="5"/>
  <c r="O16" i="5"/>
  <c r="P16" i="5"/>
  <c r="M17" i="5"/>
  <c r="N17" i="5"/>
  <c r="O17" i="5"/>
  <c r="P17" i="5"/>
  <c r="M18" i="5"/>
  <c r="N18" i="5"/>
  <c r="O18" i="5"/>
  <c r="P18" i="5"/>
  <c r="M19" i="5"/>
  <c r="N19" i="5"/>
  <c r="O19" i="5"/>
  <c r="P19" i="5"/>
  <c r="M20" i="5"/>
  <c r="N20" i="5"/>
  <c r="O20" i="5"/>
  <c r="P20" i="5"/>
  <c r="M21" i="5"/>
  <c r="N21" i="5"/>
  <c r="O21" i="5"/>
  <c r="P21" i="5"/>
  <c r="M22" i="5"/>
  <c r="N22" i="5"/>
  <c r="O22" i="5"/>
  <c r="P22" i="5"/>
  <c r="M23" i="5"/>
  <c r="N23" i="5"/>
  <c r="O23" i="5"/>
  <c r="P23" i="5"/>
  <c r="L3" i="5"/>
  <c r="L2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C110" i="6"/>
  <c r="D110" i="6"/>
  <c r="E110" i="6"/>
  <c r="F110" i="6"/>
  <c r="C111" i="6"/>
  <c r="D111" i="6"/>
  <c r="E111" i="6"/>
  <c r="F111" i="6"/>
  <c r="C112" i="6"/>
  <c r="D112" i="6"/>
  <c r="E112" i="6"/>
  <c r="F112" i="6"/>
  <c r="B112" i="6"/>
  <c r="B111" i="6"/>
  <c r="B110" i="6"/>
  <c r="C56" i="5"/>
  <c r="D56" i="5"/>
  <c r="E56" i="5"/>
  <c r="F56" i="5"/>
  <c r="C57" i="5"/>
  <c r="D57" i="5"/>
  <c r="E57" i="5"/>
  <c r="F57" i="5"/>
  <c r="C58" i="5"/>
  <c r="D58" i="5"/>
  <c r="E58" i="5"/>
  <c r="F58" i="5"/>
  <c r="B58" i="5"/>
  <c r="B57" i="5"/>
  <c r="B56" i="5"/>
  <c r="C123" i="4"/>
  <c r="D123" i="4"/>
  <c r="E123" i="4"/>
  <c r="F123" i="4"/>
  <c r="C124" i="4"/>
  <c r="D124" i="4"/>
  <c r="E124" i="4"/>
  <c r="F124" i="4"/>
  <c r="C125" i="4"/>
  <c r="D125" i="4"/>
  <c r="E125" i="4"/>
  <c r="F125" i="4"/>
  <c r="B125" i="4"/>
  <c r="B124" i="4"/>
  <c r="B123" i="4"/>
  <c r="C81" i="3"/>
  <c r="D81" i="3"/>
  <c r="E81" i="3"/>
  <c r="F81" i="3"/>
  <c r="C82" i="3"/>
  <c r="D82" i="3"/>
  <c r="E82" i="3"/>
  <c r="F82" i="3"/>
  <c r="C83" i="3"/>
  <c r="D83" i="3"/>
  <c r="E83" i="3"/>
  <c r="F83" i="3"/>
  <c r="B83" i="3"/>
  <c r="B82" i="3"/>
  <c r="B81" i="3"/>
  <c r="C112" i="2"/>
  <c r="D112" i="2"/>
  <c r="E112" i="2"/>
  <c r="F112" i="2"/>
  <c r="C113" i="2"/>
  <c r="D113" i="2"/>
  <c r="E113" i="2"/>
  <c r="F113" i="2"/>
  <c r="C114" i="2"/>
  <c r="D114" i="2"/>
  <c r="E114" i="2"/>
  <c r="F114" i="2"/>
  <c r="B114" i="2"/>
  <c r="B113" i="2"/>
  <c r="B112" i="2"/>
  <c r="C37" i="1"/>
  <c r="D37" i="1"/>
  <c r="E37" i="1"/>
  <c r="F37" i="1"/>
  <c r="B37" i="1"/>
  <c r="C36" i="1"/>
  <c r="D36" i="1"/>
  <c r="E36" i="1"/>
  <c r="F36" i="1"/>
  <c r="B36" i="1"/>
  <c r="C35" i="1"/>
  <c r="D35" i="1"/>
  <c r="E35" i="1"/>
  <c r="F35" i="1"/>
  <c r="B35" i="1"/>
</calcChain>
</file>

<file path=xl/sharedStrings.xml><?xml version="1.0" encoding="utf-8"?>
<sst xmlns="http://schemas.openxmlformats.org/spreadsheetml/2006/main" count="778" uniqueCount="184">
  <si>
    <t>2017112201p干流数字河道Monitor_Time</t>
  </si>
  <si>
    <t>Flow(m3/s)</t>
  </si>
  <si>
    <t>FlowVelocity(m/s)</t>
  </si>
  <si>
    <t>WaterLevel(m)</t>
  </si>
  <si>
    <t>WaterDepth(m)</t>
  </si>
  <si>
    <t>WaterWidth(m)</t>
  </si>
  <si>
    <t>监测时间：Lan7_2013-3-01_2013-4-01_NDWI_30m</t>
  </si>
  <si>
    <t>监测时间：Lan7_2013-6-01_2013-7-01_NDWI_30m</t>
  </si>
  <si>
    <t>监测时间：Lan7_2013-7-01_2013-8-01_NDWI_30m</t>
  </si>
  <si>
    <t>监测时间：Lan7_2013-10-01_2013-11-01_NDWI_30m</t>
  </si>
  <si>
    <t>监测时间：Lan7_2013-12-01_2014-1-01_NDWI_30m</t>
  </si>
  <si>
    <t>监测时间：Lan7_2014-10-01_2014-11-01_NDWI_30m</t>
  </si>
  <si>
    <t>监测时间：Lan7_2014-11-01_2014-12-01_NDWI_30m</t>
  </si>
  <si>
    <t>监测时间：Lan7_2015-3-01_2015-4-01_NDWI_30m</t>
  </si>
  <si>
    <t>监测时间：Lan7_2015-5-01_2015-6-01_NDWI_30m</t>
  </si>
  <si>
    <t>监测时间：Lan7_2015-7-01_2015-8-01_NDWI_30m</t>
  </si>
  <si>
    <t>监测时间：Lan7_2015-8-01_2015-9-01_NDWI_30m</t>
  </si>
  <si>
    <t>监测时间：Lan7_2015-9-01_2015-10-01_NDWI_30m</t>
  </si>
  <si>
    <t>监测时间：Lan7_2015-10-01_2015-11-01_NDWI_30m</t>
  </si>
  <si>
    <t>监测时间：Lan7_2016-4-01_2016-5-01_NDWI_30m</t>
  </si>
  <si>
    <t>监测时间：Lan7_2016-5-01_2016-6-01_NDWI_30m</t>
  </si>
  <si>
    <t>监测时间：Lan7_2016-7-01_2016-8-01_NDWI_30m</t>
  </si>
  <si>
    <t>监测时间：Lan7_2016-9-01_2016-10-01_NDWI_30m</t>
  </si>
  <si>
    <t>监测时间：Lan7_2017-9-01_2017-10-01_NDWI_30m</t>
  </si>
  <si>
    <t>监测时间：Lan7_2017-11-01_2017-12-01_NDWI_30m</t>
  </si>
  <si>
    <t>监测时间：Lan7_2018-2-01_2018-3-01_NDWI_30m</t>
  </si>
  <si>
    <t>监测时间：Lan7_2018-4-01_2018-5-01_NDWI_30m</t>
  </si>
  <si>
    <t>监测时间：Lan7_2018-5-01_2018-6-01_NDWI_30m</t>
  </si>
  <si>
    <t>监测时间：Lan7_2018-7-01_2018-8-01_NDWI_30m</t>
  </si>
  <si>
    <t>监测时间：Lan7_2018-8-01_2018-9-01_NDWI_30m</t>
  </si>
  <si>
    <t>监测时间：Lan7_2018-9-01_2018-10-01_NDWI_30m</t>
  </si>
  <si>
    <t>监测时间：Lan7_2019-4-01_2019-5-01_NDWI_30m</t>
  </si>
  <si>
    <t>监测时间：Lan7_2019-10-01_2019-11-01_NDWI_30m</t>
  </si>
  <si>
    <t>监测时间：Lan7_2020-3-01_2020-4-01_NDWI_30m</t>
  </si>
  <si>
    <t>监测时间：Lan7_2020-5-01_2020-6-01_NDWI_30m</t>
  </si>
  <si>
    <t>监测时间：Lan7_2020-6-01_2020-7-01_NDWI_30m</t>
  </si>
  <si>
    <t>2017112202-1数字河道Monitor_Time</t>
  </si>
  <si>
    <t>监测时间：Lan7_1999-7-01_1999-8-01_NDWI_30m</t>
  </si>
  <si>
    <t>监测时间：Lan7_1999-9-01_1999-10-01_NDWI_30m</t>
  </si>
  <si>
    <t>监测时间：Lan7_2000-4-01_2000-5-01_NDWI_30m</t>
  </si>
  <si>
    <t>监测时间：Lan7_2000-5-01_2000-6-01_NDWI_30m</t>
  </si>
  <si>
    <t>监测时间：Lan7_2000-9-01_2000-10-01_NDWI_30m</t>
  </si>
  <si>
    <t>监测时间：Lan7_2000-10-01_2000-11-01_NDWI_30m</t>
  </si>
  <si>
    <t>监测时间：Lan7_2001-3-01_2001-4-01_NDWI_30m</t>
  </si>
  <si>
    <t>监测时间：Lan7_2001-4-01_2001-5-01_NDWI_30m</t>
  </si>
  <si>
    <t>监测时间：Lan7_2001-6-01_2001-7-01_NDWI_30m</t>
  </si>
  <si>
    <t>监测时间：Lan7_2001-8-01_2001-9-01_NDWI_30m</t>
  </si>
  <si>
    <t>监测时间：Lan7_2001-9-01_2001-10-01_NDWI_30m</t>
  </si>
  <si>
    <t>监测时间：Lan7_2001-10-01_2001-11-01_NDWI_30m</t>
  </si>
  <si>
    <t>监测时间：Lan7_2001-11-01_2001-12-01_NDWI_30m</t>
  </si>
  <si>
    <t>监测时间：Lan7_2002-4-01_2002-5-01_NDWI_30m</t>
  </si>
  <si>
    <t>监测时间：Lan7_2002-6-01_2002-7-01_NDWI_30m</t>
  </si>
  <si>
    <t>监测时间：Lan7_2002-8-01_2002-9-01_NDWI_30m</t>
  </si>
  <si>
    <t>监测时间：Lan7_2002-10-01_2002-11-01_NDWI_30m</t>
  </si>
  <si>
    <t>监测时间：Lan7_2003-1-01_2003-2-01_NDWI_30m</t>
  </si>
  <si>
    <t>监测时间：Lan7_2003-2-01_2003-3-01_NDWI_30m</t>
  </si>
  <si>
    <t>监测时间：Lan7_2003-4-01_2003-5-01_NDWI_30m</t>
  </si>
  <si>
    <t>监测时间：Lan7_2003-5-01_2003-6-01_NDWI_30m</t>
  </si>
  <si>
    <t>监测时间：Lan7_2003-7-01_2003-8-01_NDWI_30m</t>
  </si>
  <si>
    <t>监测时间：Lan7_2003-9-01_2003-10-01_NDWI_30m</t>
  </si>
  <si>
    <t>监测时间：Lan7_2004-3-01_2004-4-01_NDWI_30m</t>
  </si>
  <si>
    <t>监测时间：Lan7_2004-8-01_2004-9-01_NDWI_30m</t>
  </si>
  <si>
    <t>监测时间：Lan7_2004-9-01_2004-10-01_NDWI_30m</t>
  </si>
  <si>
    <t>监测时间：Lan7_2004-10-01_2004-11-01_NDWI_30m</t>
  </si>
  <si>
    <t>监测时间：Lan7_2004-11-01_2004-12-01_NDWI_30m</t>
  </si>
  <si>
    <t>监测时间：Lan7_2005-4-01_2005-5-01_NDWI_30m</t>
  </si>
  <si>
    <t>监测时间：Lan7_2005-6-01_2005-7-01_NDWI_30m</t>
  </si>
  <si>
    <t>监测时间：Lan7_2005-8-01_2005-9-01_NDWI_30m</t>
  </si>
  <si>
    <t>监测时间：Lan7_2005-9-01_2005-10-01_NDWI_30m</t>
  </si>
  <si>
    <t>监测时间：Lan7_2005-10-01_2005-11-01_NDWI_30m</t>
  </si>
  <si>
    <t>监测时间：Lan7_2006-6-01_2006-7-01_NDWI_30m</t>
  </si>
  <si>
    <t>监测时间：Lan7_2006-7-01_2006-8-01_NDWI_30m</t>
  </si>
  <si>
    <t>监测时间：Lan7_2006-8-01_2006-9-01_NDWI_30m</t>
  </si>
  <si>
    <t>监测时间：Lan7_2006-9-01_2006-10-01_NDWI_30m</t>
  </si>
  <si>
    <t>监测时间：Lan7_2006-10-01_2006-11-01_NDWI_30m</t>
  </si>
  <si>
    <t>监测时间：Lan7_2007-2-01_2007-3-01_NDWI_30m</t>
  </si>
  <si>
    <t>监测时间：Lan7_2007-5-01_2007-6-01_NDWI_30m</t>
  </si>
  <si>
    <t>监测时间：Lan7_2007-6-01_2007-7-01_NDWI_30m</t>
  </si>
  <si>
    <t>监测时间：Lan7_2007-7-01_2007-8-01_NDWI_30m</t>
  </si>
  <si>
    <t>监测时间：Lan7_2007-8-01_2007-9-01_NDWI_30m</t>
  </si>
  <si>
    <t>监测时间：Lan7_2007-9-01_2007-10-01_NDWI_30m</t>
  </si>
  <si>
    <t>监测时间：Lan7_2007-10-01_2007-11-01_NDWI_30m</t>
  </si>
  <si>
    <t>监测时间：Lan7_2007-11-01_2007-12-01_NDWI_30m</t>
  </si>
  <si>
    <t>监测时间：Lan7_2008-3-01_2008-4-01_NDWI_30m</t>
  </si>
  <si>
    <t>监测时间：Lan7_2008-6-01_2008-7-01_NDWI_30m</t>
  </si>
  <si>
    <t>监测时间：Lan7_2008-7-01_2008-8-01_NDWI_30m</t>
  </si>
  <si>
    <t>监测时间：Lan7_2008-9-01_2008-10-01_NDWI_30m</t>
  </si>
  <si>
    <t>监测时间：Lan7_2008-10-01_2008-11-01_NDWI_30m</t>
  </si>
  <si>
    <t>监测时间：Lan7_2009-1-01_2009-2-01_NDWI_30m</t>
  </si>
  <si>
    <t>监测时间：Lan7_2009-3-01_2009-4-01_NDWI_30m</t>
  </si>
  <si>
    <t>监测时间：Lan7_2009-5-01_2009-6-01_NDWI_30m</t>
  </si>
  <si>
    <t>监测时间：Lan7_2009-7-01_2009-8-01_NDWI_30m</t>
  </si>
  <si>
    <t>监测时间：Lan7_2009-8-01_2009-9-01_NDWI_30m</t>
  </si>
  <si>
    <t>监测时间：Lan7_2009-9-01_2009-10-01_NDWI_30m</t>
  </si>
  <si>
    <t>监测时间：Lan7_2009-10-01_2009-11-01_NDWI_30m</t>
  </si>
  <si>
    <t>监测时间：Lan7_2010-5-01_2010-6-01_NDWI_30m</t>
  </si>
  <si>
    <t>监测时间：Lan7_2010-6-01_2010-7-01_NDWI_30m</t>
  </si>
  <si>
    <t>监测时间：Lan7_2010-8-01_2010-9-01_NDWI_30m</t>
  </si>
  <si>
    <t>监测时间：Lan7_2010-10-01_2010-11-01_NDWI_30m</t>
  </si>
  <si>
    <t>监测时间：Lan7_2010-11-01_2010-12-01_NDWI_30m</t>
  </si>
  <si>
    <t>监测时间：Lan7_2010-12-01_2011-1-01_NDWI_30m</t>
  </si>
  <si>
    <t>监测时间：Lan7_2011-5-01_2011-6-01_NDWI_30m</t>
  </si>
  <si>
    <t>监测时间：Lan7_2011-8-01_2011-9-01_NDWI_30m</t>
  </si>
  <si>
    <t>监测时间：Lan7_2011-10-01_2011-11-01_NDWI_30m</t>
  </si>
  <si>
    <t>监测时间：Lan7_2011-11-01_2011-12-01_NDWI_30m</t>
  </si>
  <si>
    <t>监测时间：Lan7_2012-4-01_2012-5-01_NDWI_30m</t>
  </si>
  <si>
    <t>监测时间：Lan7_2012-7-01_2012-8-01_NDWI_30m</t>
  </si>
  <si>
    <t>监测时间：Lan7_2012-9-01_2012-10-01_NDWI_30m</t>
  </si>
  <si>
    <t>监测时间：Lan7_2012-10-01_2012-11-01_NDWI_30m</t>
  </si>
  <si>
    <t>监测时间：Lan7_2012-11-01_2012-12-01_NDWI_30m</t>
  </si>
  <si>
    <t>监测时间：Lan7_2012-12-01_2013-1-01_NDWI_30m</t>
  </si>
  <si>
    <t>监测时间：Lan7_2013-4-01_2013-5-01_NDWI_30m</t>
  </si>
  <si>
    <t>监测时间：Lan7_2013-5-01_2013-6-01_NDWI_30m</t>
  </si>
  <si>
    <t>监测时间：Lan7_2014-3-01_2014-4-01_NDWI_30m</t>
  </si>
  <si>
    <t>监测时间：Lan7_2014-4-01_2014-5-01_NDWI_30m</t>
  </si>
  <si>
    <t>监测时间：Lan7_2014-6-01_2014-7-01_NDWI_30m</t>
  </si>
  <si>
    <t>监测时间：Lan7_2014-8-01_2014-9-01_NDWI_30m</t>
  </si>
  <si>
    <t>监测时间：Lan7_2014-9-01_2014-10-01_NDWI_30m</t>
  </si>
  <si>
    <t>监测时间：Lan7_2015-2-01_2015-3-01_NDWI_30m</t>
  </si>
  <si>
    <t>监测时间：Lan7_2015-4-01_2015-5-01_NDWI_30m</t>
  </si>
  <si>
    <t>监测时间：Lan7_2015-6-01_2015-7-01_NDWI_30m</t>
  </si>
  <si>
    <t>监测时间：Lan7_2016-3-01_2016-4-01_NDWI_30m</t>
  </si>
  <si>
    <t>监测时间：Lan7_2016-6-01_2016-7-01_NDWI_30m</t>
  </si>
  <si>
    <t>监测时间：Lan7_2016-8-01_2016-9-01_NDWI_30m</t>
  </si>
  <si>
    <t>监测时间：Lan7_2016-10-01_2016-11-01_NDWI_30m</t>
  </si>
  <si>
    <t>监测时间：Lan7_2016-11-01_2016-12-01_NDWI_30m</t>
  </si>
  <si>
    <t>监测时间：Lan7_2017-5-01_2017-6-01_NDWI_30m</t>
  </si>
  <si>
    <t>监测时间：Lan7_2018-6-01_2018-7-01_NDWI_30m</t>
  </si>
  <si>
    <t>监测时间：Lan7_2018-10-01_2018-11-01_NDWI_30m</t>
  </si>
  <si>
    <t>监测时间：Lan7_2019-1-01_2019-2-01_NDWI_30m</t>
  </si>
  <si>
    <t>监测时间：Lan7_2019-2-01_2019-3-01_NDWI_30m</t>
  </si>
  <si>
    <t>监测时间：Lan7_2019-3-01_2019-4-01_NDWI_30m</t>
  </si>
  <si>
    <t>监测时间：Lan7_2019-5-01_2019-6-01_NDWI_30m</t>
  </si>
  <si>
    <t>监测时间：Lan7_2019-8-01_2019-9-01_NDWI_30m</t>
  </si>
  <si>
    <t>监测时间：Lan7_2019-9-01_2019-10-01_NDWI_30m</t>
  </si>
  <si>
    <t>监测时间：Lan7_2020-2-01_2020-3-01_NDWI_30m</t>
  </si>
  <si>
    <t>2017112203P数字河道Monitor_Time</t>
  </si>
  <si>
    <t>监测时间：Lan7_2000-8-01_2000-9-01_NDWI_30m</t>
  </si>
  <si>
    <t>监测时间：Lan7_2005-7-01_2005-8-01_NDWI_30m</t>
  </si>
  <si>
    <t>监测时间：Lan7_2006-4-01_2006-5-01_NDWI_30m</t>
  </si>
  <si>
    <t>监测时间：Lan7_2011-6-01_2011-7-01_NDWI_30m</t>
  </si>
  <si>
    <t>监测时间：Lan7_2011-9-01_2011-10-01_NDWI_30m</t>
  </si>
  <si>
    <t>监测时间：Lan7_2012-8-01_2012-9-01_NDWI_30m</t>
  </si>
  <si>
    <t>监测时间：Lan7_2014-1-01_2014-2-01_NDWI_30m</t>
  </si>
  <si>
    <t>监测时间：Lan7_2014-7-01_2014-8-01_NDWI_30m</t>
  </si>
  <si>
    <t>监测时间：Lan7_2017-4-01_2017-5-01_NDWI_30m</t>
  </si>
  <si>
    <t>监测时间：Lan7_2017-10-01_2017-11-01_NDWI_30m</t>
  </si>
  <si>
    <t>监测时间：Lan7_2019-11-01_2019-12-01_NDWI_30m</t>
  </si>
  <si>
    <t>监测时间：Lan7_2020-4-01_2020-5-01_NDWI_30m</t>
  </si>
  <si>
    <t>2017112204p数字河道Monitor_Time</t>
  </si>
  <si>
    <t>监测时间：Lan7_2006-5-01_2006-6-01_NDWI_30m</t>
  </si>
  <si>
    <t>监测时间：Lan7_2007-3-01_2007-4-01_NDWI_30m</t>
  </si>
  <si>
    <t>监测时间：Lan7_2007-4-01_2007-5-01_NDWI_30m</t>
  </si>
  <si>
    <t>监测时间：Lan7_2007-12-01_2008-1-01_NDWI_30m</t>
  </si>
  <si>
    <t>监测时间：Lan7_2008-12-01_2009-1-01_NDWI_30m</t>
  </si>
  <si>
    <t>2017112205河道断面计算Monitor_Time</t>
  </si>
  <si>
    <t>监测时间：Lan7_2012-6-01_2012-7-01_NDWI_30m</t>
  </si>
  <si>
    <t>监测时间：Lan7_2018-12-01_2019-1-01_NDWI_30m</t>
  </si>
  <si>
    <t>2017112206p数字河道Monitor_Time</t>
  </si>
  <si>
    <t>监测时间：Lan7_2000-11-01_2000-12-01_NDWI_30m</t>
  </si>
  <si>
    <t>监测时间：Lan7_2012-5-01_2012-6-01_NDWI_30m</t>
  </si>
  <si>
    <t>监测时间：Lan7_2018-3-01_2018-4-01_NDWI_30m</t>
  </si>
  <si>
    <t>2017112301河道计算Monitor_Time</t>
  </si>
  <si>
    <t>监测时间：Lan7_2001-5-01_2001-6-01_NDWI_30m</t>
  </si>
  <si>
    <t>监测时间：Lan7_2002-5-01_2002-6-01_NDWI_30m</t>
  </si>
  <si>
    <t>监测时间：Lan7_2004-4-01_2004-5-01_NDWI_30m</t>
  </si>
  <si>
    <t>监测时间：Lan7_2004-5-01_2004-6-01_NDWI_30m</t>
  </si>
  <si>
    <t>监测时间：Lan7_2013-2-01_2013-3-01_NDWI_30m</t>
  </si>
  <si>
    <t>监测时间：Lan7_2017-7-01_2017-8-01_NDWI_30m</t>
  </si>
  <si>
    <t>监测时间：Lan7_2017-8-01_2017-9-01_NDWI_30m</t>
  </si>
  <si>
    <t>监测时间：Lan7_2019-7-01_2019-8-01_NDWI_30m</t>
  </si>
  <si>
    <t>2017112304p数字河道Monitor_Time</t>
  </si>
  <si>
    <t>2019112302p遥感水文站说明</t>
  </si>
  <si>
    <t>该站周边植被丰富，lan7无法反演河宽</t>
  </si>
  <si>
    <t xml:space="preserve">          20200908 杨胜天</t>
  </si>
  <si>
    <t>平均值</t>
    <phoneticPr fontId="1" type="noConversion"/>
  </si>
  <si>
    <t>最小值</t>
    <phoneticPr fontId="1" type="noConversion"/>
  </si>
  <si>
    <t>最大值</t>
    <phoneticPr fontId="1" type="noConversion"/>
  </si>
  <si>
    <t>日期</t>
    <phoneticPr fontId="1" type="noConversion"/>
  </si>
  <si>
    <t>2015-10-010</t>
  </si>
  <si>
    <t>2016-10-010</t>
  </si>
  <si>
    <t>2017-11-010</t>
  </si>
  <si>
    <t>2018-10-010</t>
  </si>
  <si>
    <t>年平均计算值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</si>
</sst>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workbookViewId="0">
      <selection activeCell="B37" sqref="B37:F37"/>
    </sheetView>
  </sheetViews>
  <sheetFormatPr defaultRowHeight="14.25" x14ac:dyDescent="0.2"/>
  <cols>
    <col min="1" max="1" width="18.75" style="1" customWidth="1"/>
    <col min="2" max="2" width="13.375" style="1" customWidth="1"/>
    <col min="3" max="3" width="16" style="1" customWidth="1"/>
    <col min="4" max="4" width="13.375" style="1" customWidth="1"/>
    <col min="5" max="6" width="13.875" style="1" customWidth="1"/>
    <col min="7" max="7" width="9" style="1"/>
    <col min="8" max="8" width="13.25" style="1" customWidth="1"/>
    <col min="9" max="9" width="9" style="1"/>
    <col min="10" max="10" width="13" style="1" bestFit="1" customWidth="1"/>
    <col min="11" max="11" width="12.75" style="1" bestFit="1" customWidth="1"/>
    <col min="12" max="12" width="16.375" style="1" bestFit="1" customWidth="1"/>
    <col min="13" max="13" width="13.625" style="1" bestFit="1" customWidth="1"/>
    <col min="14" max="14" width="14.625" style="1" bestFit="1" customWidth="1"/>
    <col min="15" max="15" width="14.375" style="1" bestFit="1" customWidth="1"/>
    <col min="16" max="16384" width="9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178</v>
      </c>
      <c r="J1" s="1" t="s">
        <v>183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</row>
    <row r="2" spans="1:15" x14ac:dyDescent="0.2">
      <c r="A2" s="1" t="s">
        <v>6</v>
      </c>
      <c r="B2" s="1">
        <v>1456.85</v>
      </c>
      <c r="C2" s="1">
        <v>4.2660900000000002</v>
      </c>
      <c r="D2" s="1">
        <v>4473.55</v>
      </c>
      <c r="E2" s="1">
        <v>4.9706599999999996</v>
      </c>
      <c r="F2" s="1">
        <v>97.647999999999996</v>
      </c>
      <c r="H2" s="3">
        <v>41334</v>
      </c>
      <c r="J2" s="1">
        <v>1999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 x14ac:dyDescent="0.2">
      <c r="A3" s="1" t="s">
        <v>7</v>
      </c>
      <c r="B3" s="1">
        <v>10.2105</v>
      </c>
      <c r="C3" s="1">
        <v>0.87100100000000003</v>
      </c>
      <c r="D3" s="1">
        <v>4469.1499999999996</v>
      </c>
      <c r="E3" s="1">
        <v>0.57261499999999999</v>
      </c>
      <c r="F3" s="1">
        <v>38.361699999999999</v>
      </c>
      <c r="H3" s="3">
        <v>41426</v>
      </c>
      <c r="J3" s="1">
        <v>2000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 x14ac:dyDescent="0.2">
      <c r="A4" s="1" t="s">
        <v>8</v>
      </c>
      <c r="B4" s="1">
        <v>11.174899999999999</v>
      </c>
      <c r="C4" s="1">
        <v>0.98460400000000003</v>
      </c>
      <c r="D4" s="1">
        <v>4469.18</v>
      </c>
      <c r="E4" s="1">
        <v>0.60176799999999997</v>
      </c>
      <c r="F4" s="1">
        <v>31.386900000000001</v>
      </c>
      <c r="H4" s="3">
        <v>41456</v>
      </c>
      <c r="J4" s="1">
        <v>2001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5" x14ac:dyDescent="0.2">
      <c r="A5" s="1" t="s">
        <v>9</v>
      </c>
      <c r="B5" s="1">
        <v>79.263800000000003</v>
      </c>
      <c r="C5" s="1">
        <v>1.7165699999999999</v>
      </c>
      <c r="D5" s="1">
        <v>4469.95</v>
      </c>
      <c r="E5" s="1">
        <v>1.3717699999999999</v>
      </c>
      <c r="F5" s="1">
        <v>52.311399999999999</v>
      </c>
      <c r="H5" s="3">
        <v>41548</v>
      </c>
      <c r="J5" s="1">
        <v>2002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 x14ac:dyDescent="0.2">
      <c r="A6" s="1" t="s">
        <v>10</v>
      </c>
      <c r="B6" s="1">
        <v>86.805400000000006</v>
      </c>
      <c r="C6" s="1">
        <v>1.7349300000000001</v>
      </c>
      <c r="D6" s="1">
        <v>4470.0200000000004</v>
      </c>
      <c r="E6" s="1">
        <v>1.44306</v>
      </c>
      <c r="F6" s="1">
        <v>55.798900000000003</v>
      </c>
      <c r="H6" s="3">
        <v>41609</v>
      </c>
      <c r="J6" s="1">
        <v>2003</v>
      </c>
      <c r="K6" s="1">
        <v>0</v>
      </c>
      <c r="L6" s="1">
        <v>0</v>
      </c>
      <c r="M6" s="1">
        <v>0</v>
      </c>
      <c r="N6" s="1">
        <v>0</v>
      </c>
      <c r="O6" s="1">
        <v>0</v>
      </c>
    </row>
    <row r="7" spans="1:15" x14ac:dyDescent="0.2">
      <c r="A7" s="1" t="s">
        <v>11</v>
      </c>
      <c r="B7" s="1">
        <v>67.721999999999994</v>
      </c>
      <c r="C7" s="1">
        <v>1.6573800000000001</v>
      </c>
      <c r="D7" s="1">
        <v>4469.8500000000004</v>
      </c>
      <c r="E7" s="1">
        <v>1.26698</v>
      </c>
      <c r="F7" s="1">
        <v>48.823999999999998</v>
      </c>
      <c r="H7" s="3">
        <v>41913</v>
      </c>
      <c r="J7" s="1">
        <v>2004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 spans="1:15" x14ac:dyDescent="0.2">
      <c r="A8" s="1" t="s">
        <v>12</v>
      </c>
      <c r="B8" s="1">
        <v>0.19834299999999999</v>
      </c>
      <c r="C8" s="1">
        <v>0.35154200000000002</v>
      </c>
      <c r="D8" s="1">
        <v>4468.74</v>
      </c>
      <c r="E8" s="1">
        <v>0.156725</v>
      </c>
      <c r="F8" s="1">
        <v>6.9748599999999996</v>
      </c>
      <c r="H8" s="3">
        <v>41944</v>
      </c>
      <c r="J8" s="1">
        <v>2005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spans="1:15" x14ac:dyDescent="0.2">
      <c r="A9" s="1" t="s">
        <v>13</v>
      </c>
      <c r="B9" s="1">
        <v>447.57499999999999</v>
      </c>
      <c r="C9" s="1">
        <v>2.8856099999999998</v>
      </c>
      <c r="D9" s="1">
        <v>4471.3900000000003</v>
      </c>
      <c r="E9" s="1">
        <v>2.8078799999999999</v>
      </c>
      <c r="F9" s="1">
        <v>80.210899999999995</v>
      </c>
      <c r="H9" s="3">
        <v>42064</v>
      </c>
      <c r="J9" s="1">
        <v>2006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spans="1:15" x14ac:dyDescent="0.2">
      <c r="A10" s="1" t="s">
        <v>14</v>
      </c>
      <c r="B10" s="1">
        <v>447.57499999999999</v>
      </c>
      <c r="C10" s="1">
        <v>2.8856099999999998</v>
      </c>
      <c r="D10" s="1">
        <v>4471.3900000000003</v>
      </c>
      <c r="E10" s="1">
        <v>2.8078799999999999</v>
      </c>
      <c r="F10" s="1">
        <v>80.210899999999995</v>
      </c>
      <c r="H10" s="3">
        <v>42125</v>
      </c>
      <c r="J10" s="1">
        <v>2007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</row>
    <row r="11" spans="1:15" x14ac:dyDescent="0.2">
      <c r="A11" s="1" t="s">
        <v>15</v>
      </c>
      <c r="B11" s="1">
        <v>67.721999999999994</v>
      </c>
      <c r="C11" s="1">
        <v>1.6573800000000001</v>
      </c>
      <c r="D11" s="1">
        <v>4469.8500000000004</v>
      </c>
      <c r="E11" s="1">
        <v>1.26698</v>
      </c>
      <c r="F11" s="1">
        <v>48.823999999999998</v>
      </c>
      <c r="H11" s="3">
        <v>42186</v>
      </c>
      <c r="J11" s="1">
        <v>2008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</row>
    <row r="12" spans="1:15" x14ac:dyDescent="0.2">
      <c r="A12" s="1" t="s">
        <v>16</v>
      </c>
      <c r="B12" s="1">
        <v>31.891400000000001</v>
      </c>
      <c r="C12" s="1">
        <v>1.30386</v>
      </c>
      <c r="D12" s="1">
        <v>4469.4799999999996</v>
      </c>
      <c r="E12" s="1">
        <v>0.90124899999999997</v>
      </c>
      <c r="F12" s="1">
        <v>41.8491</v>
      </c>
      <c r="H12" s="3">
        <v>42217</v>
      </c>
      <c r="J12" s="1">
        <v>2009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</row>
    <row r="13" spans="1:15" x14ac:dyDescent="0.2">
      <c r="A13" s="1" t="s">
        <v>17</v>
      </c>
      <c r="B13" s="1">
        <v>17.522099999999998</v>
      </c>
      <c r="C13" s="1">
        <v>1.2061900000000001</v>
      </c>
      <c r="D13" s="1">
        <v>4469.3</v>
      </c>
      <c r="E13" s="1">
        <v>0.718669</v>
      </c>
      <c r="F13" s="1">
        <v>27.8994</v>
      </c>
      <c r="H13" s="3">
        <v>42248</v>
      </c>
      <c r="J13" s="1">
        <v>2010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</row>
    <row r="14" spans="1:15" x14ac:dyDescent="0.2">
      <c r="A14" s="1" t="s">
        <v>18</v>
      </c>
      <c r="B14" s="1">
        <v>79.066400000000002</v>
      </c>
      <c r="C14" s="1">
        <v>1.6318999999999999</v>
      </c>
      <c r="D14" s="1">
        <v>4470</v>
      </c>
      <c r="E14" s="1">
        <v>1.4173</v>
      </c>
      <c r="F14" s="1">
        <v>59.286299999999997</v>
      </c>
      <c r="H14" s="3">
        <v>42278</v>
      </c>
      <c r="J14" s="1">
        <v>2011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</row>
    <row r="15" spans="1:15" x14ac:dyDescent="0.2">
      <c r="A15" s="1" t="s">
        <v>19</v>
      </c>
      <c r="B15" s="1">
        <v>3061.07</v>
      </c>
      <c r="C15" s="1">
        <v>5.1321300000000001</v>
      </c>
      <c r="D15" s="1">
        <v>4475.6899999999996</v>
      </c>
      <c r="E15" s="1">
        <v>7.10764</v>
      </c>
      <c r="F15" s="1">
        <v>129.035</v>
      </c>
      <c r="H15" s="3">
        <v>42461</v>
      </c>
      <c r="J15" s="1">
        <v>2012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</row>
    <row r="16" spans="1:15" x14ac:dyDescent="0.2">
      <c r="A16" s="1" t="s">
        <v>20</v>
      </c>
      <c r="B16" s="1">
        <v>31.891400000000001</v>
      </c>
      <c r="C16" s="1">
        <v>1.30386</v>
      </c>
      <c r="D16" s="1">
        <v>4469.4799999999996</v>
      </c>
      <c r="E16" s="1">
        <v>0.90124899999999997</v>
      </c>
      <c r="F16" s="1">
        <v>41.8491</v>
      </c>
      <c r="H16" s="3">
        <v>42491</v>
      </c>
      <c r="J16" s="1">
        <v>2013</v>
      </c>
      <c r="K16" s="1">
        <f>AVERAGE(B2:B6)</f>
        <v>328.86091999999996</v>
      </c>
      <c r="L16" s="1">
        <f t="shared" ref="L16:O16" si="0">AVERAGE(C2:C6)</f>
        <v>1.914639</v>
      </c>
      <c r="M16" s="1">
        <f t="shared" si="0"/>
        <v>4470.3700000000008</v>
      </c>
      <c r="N16" s="1">
        <f t="shared" si="0"/>
        <v>1.7919745999999996</v>
      </c>
      <c r="O16" s="1">
        <f t="shared" si="0"/>
        <v>55.101379999999992</v>
      </c>
    </row>
    <row r="17" spans="1:15" x14ac:dyDescent="0.2">
      <c r="A17" s="1" t="s">
        <v>21</v>
      </c>
      <c r="B17" s="1">
        <v>4.3837599999999997E-2</v>
      </c>
      <c r="C17" s="1">
        <v>0.13828699999999999</v>
      </c>
      <c r="D17" s="1">
        <v>4468.68</v>
      </c>
      <c r="E17" s="1">
        <v>9.6246700000000004E-2</v>
      </c>
      <c r="F17" s="1">
        <v>17.437100000000001</v>
      </c>
      <c r="H17" s="3">
        <v>42552</v>
      </c>
      <c r="J17" s="1">
        <v>2014</v>
      </c>
      <c r="K17" s="1">
        <f>AVERAGE(B7:B8)</f>
        <v>33.960171499999994</v>
      </c>
      <c r="L17" s="1">
        <f t="shared" ref="L17:O17" si="1">AVERAGE(C7:C8)</f>
        <v>1.004461</v>
      </c>
      <c r="M17" s="1">
        <f t="shared" si="1"/>
        <v>4469.2950000000001</v>
      </c>
      <c r="N17" s="1">
        <f t="shared" si="1"/>
        <v>0.7118525</v>
      </c>
      <c r="O17" s="1">
        <f t="shared" si="1"/>
        <v>27.899429999999999</v>
      </c>
    </row>
    <row r="18" spans="1:15" x14ac:dyDescent="0.2">
      <c r="A18" s="1" t="s">
        <v>22</v>
      </c>
      <c r="B18" s="1">
        <v>10.2105</v>
      </c>
      <c r="C18" s="1">
        <v>0.87100100000000003</v>
      </c>
      <c r="D18" s="1">
        <v>4469.1499999999996</v>
      </c>
      <c r="E18" s="1">
        <v>0.57261499999999999</v>
      </c>
      <c r="F18" s="1">
        <v>38.361699999999999</v>
      </c>
      <c r="H18" s="3">
        <v>42614</v>
      </c>
      <c r="J18" s="1">
        <v>2015</v>
      </c>
      <c r="K18" s="1">
        <f>AVERAGE(B9:B14)</f>
        <v>181.89198333333331</v>
      </c>
      <c r="L18" s="1">
        <f t="shared" ref="L18:O18" si="2">AVERAGE(C9:C14)</f>
        <v>1.9284249999999998</v>
      </c>
      <c r="M18" s="1">
        <f t="shared" si="2"/>
        <v>4470.2349999999997</v>
      </c>
      <c r="N18" s="1">
        <f t="shared" si="2"/>
        <v>1.6533263333333335</v>
      </c>
      <c r="O18" s="1">
        <f t="shared" si="2"/>
        <v>56.380099999999992</v>
      </c>
    </row>
    <row r="19" spans="1:15" x14ac:dyDescent="0.2">
      <c r="A19" s="1" t="s">
        <v>23</v>
      </c>
      <c r="B19" s="1">
        <v>79.263800000000003</v>
      </c>
      <c r="C19" s="1">
        <v>1.7165699999999999</v>
      </c>
      <c r="D19" s="1">
        <v>4469.95</v>
      </c>
      <c r="E19" s="1">
        <v>1.3717699999999999</v>
      </c>
      <c r="F19" s="1">
        <v>52.311399999999999</v>
      </c>
      <c r="H19" s="3">
        <v>42979</v>
      </c>
      <c r="J19" s="1">
        <v>2016</v>
      </c>
      <c r="K19" s="1">
        <f>AVERAGE(B15:B18)</f>
        <v>775.80393440000012</v>
      </c>
      <c r="L19" s="1">
        <f t="shared" ref="L19:O19" si="3">AVERAGE(C15:C18)</f>
        <v>1.8613195</v>
      </c>
      <c r="M19" s="1">
        <f t="shared" si="3"/>
        <v>4470.75</v>
      </c>
      <c r="N19" s="1">
        <f t="shared" si="3"/>
        <v>2.1694376750000002</v>
      </c>
      <c r="O19" s="1">
        <f t="shared" si="3"/>
        <v>56.67072499999999</v>
      </c>
    </row>
    <row r="20" spans="1:15" x14ac:dyDescent="0.2">
      <c r="A20" s="1" t="s">
        <v>24</v>
      </c>
      <c r="B20" s="1">
        <v>77.191199999999995</v>
      </c>
      <c r="C20" s="1">
        <v>1.5799799999999999</v>
      </c>
      <c r="D20" s="1">
        <v>4470.01</v>
      </c>
      <c r="E20" s="1">
        <v>1.4241999999999999</v>
      </c>
      <c r="F20" s="1">
        <v>62.773699999999998</v>
      </c>
      <c r="H20" s="3">
        <v>43040</v>
      </c>
      <c r="J20" s="1">
        <v>2017</v>
      </c>
      <c r="K20" s="1">
        <f>AVERAGE(B19:B20)</f>
        <v>78.227499999999992</v>
      </c>
      <c r="L20" s="1">
        <f t="shared" ref="L20:O20" si="4">AVERAGE(C19:C20)</f>
        <v>1.6482749999999999</v>
      </c>
      <c r="M20" s="1">
        <f t="shared" si="4"/>
        <v>4469.9799999999996</v>
      </c>
      <c r="N20" s="1">
        <f t="shared" si="4"/>
        <v>1.3979849999999998</v>
      </c>
      <c r="O20" s="1">
        <f t="shared" si="4"/>
        <v>57.542549999999999</v>
      </c>
    </row>
    <row r="21" spans="1:15" x14ac:dyDescent="0.2">
      <c r="A21" s="1" t="s">
        <v>25</v>
      </c>
      <c r="B21" s="1">
        <v>41.591700000000003</v>
      </c>
      <c r="C21" s="1">
        <v>1.25644</v>
      </c>
      <c r="D21" s="1">
        <v>4469.68</v>
      </c>
      <c r="E21" s="1">
        <v>1.0988100000000001</v>
      </c>
      <c r="F21" s="1">
        <v>66.261200000000002</v>
      </c>
      <c r="H21" s="3">
        <v>43132</v>
      </c>
      <c r="J21" s="1">
        <v>2018</v>
      </c>
      <c r="K21" s="1">
        <f>AVERAGE(B21:B26)</f>
        <v>50.990696666666672</v>
      </c>
      <c r="L21" s="1">
        <f t="shared" ref="L21:O21" si="5">AVERAGE(C21:C26)</f>
        <v>1.245547</v>
      </c>
      <c r="M21" s="1">
        <f t="shared" si="5"/>
        <v>4469.5966666666673</v>
      </c>
      <c r="N21" s="1">
        <f t="shared" si="5"/>
        <v>1.0173435</v>
      </c>
      <c r="O21" s="1">
        <f t="shared" si="5"/>
        <v>52.311433333333326</v>
      </c>
    </row>
    <row r="22" spans="1:15" x14ac:dyDescent="0.2">
      <c r="A22" s="1" t="s">
        <v>26</v>
      </c>
      <c r="B22" s="1">
        <v>148.62700000000001</v>
      </c>
      <c r="C22" s="1">
        <v>1.9285600000000001</v>
      </c>
      <c r="D22" s="1">
        <v>4470.38</v>
      </c>
      <c r="E22" s="1">
        <v>1.79508</v>
      </c>
      <c r="F22" s="1">
        <v>73.236000000000004</v>
      </c>
      <c r="H22" s="3">
        <v>43191</v>
      </c>
      <c r="J22" s="1">
        <v>2019</v>
      </c>
      <c r="K22" s="1">
        <f>AVERAGE(B27:B28)</f>
        <v>702.08690000000001</v>
      </c>
      <c r="L22" s="1">
        <f t="shared" ref="L22:O22" si="6">AVERAGE(C27:C28)</f>
        <v>2.9415999999999998</v>
      </c>
      <c r="M22" s="1">
        <f t="shared" si="6"/>
        <v>4471.625</v>
      </c>
      <c r="N22" s="1">
        <f t="shared" si="6"/>
        <v>3.043825</v>
      </c>
      <c r="O22" s="1">
        <f t="shared" si="6"/>
        <v>73.236000000000004</v>
      </c>
    </row>
    <row r="23" spans="1:15" x14ac:dyDescent="0.2">
      <c r="A23" s="1" t="s">
        <v>27</v>
      </c>
      <c r="B23" s="1">
        <v>31.891400000000001</v>
      </c>
      <c r="C23" s="1">
        <v>1.30386</v>
      </c>
      <c r="D23" s="1">
        <v>4469.4799999999996</v>
      </c>
      <c r="E23" s="1">
        <v>0.90124899999999997</v>
      </c>
      <c r="F23" s="1">
        <v>41.8491</v>
      </c>
      <c r="H23" s="3">
        <v>43221</v>
      </c>
      <c r="J23" s="1">
        <v>2020</v>
      </c>
      <c r="K23" s="1">
        <f>AVERAGE(B29:B31)</f>
        <v>176.91946666666664</v>
      </c>
      <c r="L23" s="1">
        <f t="shared" ref="L23:O23" si="7">AVERAGE(C29:C31)</f>
        <v>1.7994966666666665</v>
      </c>
      <c r="M23" s="1">
        <f t="shared" si="7"/>
        <v>4470.25</v>
      </c>
      <c r="N23" s="1">
        <f t="shared" si="7"/>
        <v>1.6684999999999999</v>
      </c>
      <c r="O23" s="1">
        <f t="shared" si="7"/>
        <v>70.91109999999999</v>
      </c>
    </row>
    <row r="24" spans="1:15" x14ac:dyDescent="0.2">
      <c r="A24" s="1" t="s">
        <v>28</v>
      </c>
      <c r="B24" s="1">
        <v>70.384200000000007</v>
      </c>
      <c r="C24" s="1">
        <v>1.4643200000000001</v>
      </c>
      <c r="D24" s="1">
        <v>4469.96</v>
      </c>
      <c r="E24" s="1">
        <v>1.38347</v>
      </c>
      <c r="F24" s="1">
        <v>69.748599999999996</v>
      </c>
      <c r="H24" s="3">
        <v>43282</v>
      </c>
    </row>
    <row r="25" spans="1:15" x14ac:dyDescent="0.2">
      <c r="A25" s="1" t="s">
        <v>29</v>
      </c>
      <c r="B25" s="1">
        <v>3.2393800000000001</v>
      </c>
      <c r="C25" s="1">
        <v>0.64910100000000004</v>
      </c>
      <c r="D25" s="1">
        <v>4468.93</v>
      </c>
      <c r="E25" s="1">
        <v>0.35283700000000001</v>
      </c>
      <c r="F25" s="1">
        <v>24.411999999999999</v>
      </c>
      <c r="H25" s="3">
        <v>43313</v>
      </c>
    </row>
    <row r="26" spans="1:15" x14ac:dyDescent="0.2">
      <c r="A26" s="1" t="s">
        <v>30</v>
      </c>
      <c r="B26" s="1">
        <v>10.2105</v>
      </c>
      <c r="C26" s="1">
        <v>0.87100100000000003</v>
      </c>
      <c r="D26" s="1">
        <v>4469.1499999999996</v>
      </c>
      <c r="E26" s="1">
        <v>0.57261499999999999</v>
      </c>
      <c r="F26" s="1">
        <v>38.361699999999999</v>
      </c>
      <c r="H26" s="3">
        <v>43344</v>
      </c>
    </row>
    <row r="27" spans="1:15" x14ac:dyDescent="0.2">
      <c r="A27" s="1" t="s">
        <v>31</v>
      </c>
      <c r="B27" s="1">
        <v>1324.91</v>
      </c>
      <c r="C27" s="1">
        <v>4.1666299999999996</v>
      </c>
      <c r="D27" s="1">
        <v>4473.3</v>
      </c>
      <c r="E27" s="1">
        <v>4.7158800000000003</v>
      </c>
      <c r="F27" s="1">
        <v>94.160600000000002</v>
      </c>
      <c r="H27" s="3">
        <v>43556</v>
      </c>
    </row>
    <row r="28" spans="1:15" x14ac:dyDescent="0.2">
      <c r="A28" s="1" t="s">
        <v>32</v>
      </c>
      <c r="B28" s="1">
        <v>79.263800000000003</v>
      </c>
      <c r="C28" s="1">
        <v>1.7165699999999999</v>
      </c>
      <c r="D28" s="1">
        <v>4469.95</v>
      </c>
      <c r="E28" s="1">
        <v>1.3717699999999999</v>
      </c>
      <c r="F28" s="1">
        <v>52.311399999999999</v>
      </c>
      <c r="H28" s="3">
        <v>43739</v>
      </c>
    </row>
    <row r="29" spans="1:15" x14ac:dyDescent="0.2">
      <c r="A29" s="1" t="s">
        <v>33</v>
      </c>
      <c r="B29" s="1">
        <v>41.591700000000003</v>
      </c>
      <c r="C29" s="1">
        <v>1.25644</v>
      </c>
      <c r="D29" s="1">
        <v>4469.68</v>
      </c>
      <c r="E29" s="1">
        <v>1.0988100000000001</v>
      </c>
      <c r="F29" s="1">
        <v>66.261200000000002</v>
      </c>
      <c r="H29" s="3">
        <v>43891</v>
      </c>
    </row>
    <row r="30" spans="1:15" x14ac:dyDescent="0.2">
      <c r="A30" s="1" t="s">
        <v>34</v>
      </c>
      <c r="B30" s="1">
        <v>41.591700000000003</v>
      </c>
      <c r="C30" s="1">
        <v>1.25644</v>
      </c>
      <c r="D30" s="1">
        <v>4469.68</v>
      </c>
      <c r="E30" s="1">
        <v>1.0988100000000001</v>
      </c>
      <c r="F30" s="1">
        <v>66.261200000000002</v>
      </c>
      <c r="H30" s="3">
        <v>43952</v>
      </c>
    </row>
    <row r="31" spans="1:15" x14ac:dyDescent="0.2">
      <c r="A31" s="1" t="s">
        <v>35</v>
      </c>
      <c r="B31" s="1">
        <v>447.57499999999999</v>
      </c>
      <c r="C31" s="1">
        <v>2.8856099999999998</v>
      </c>
      <c r="D31" s="1">
        <v>4471.3900000000003</v>
      </c>
      <c r="E31" s="1">
        <v>2.8078799999999999</v>
      </c>
      <c r="F31" s="1">
        <v>80.210899999999995</v>
      </c>
      <c r="H31" s="3">
        <v>43983</v>
      </c>
    </row>
    <row r="35" spans="1:6" x14ac:dyDescent="0.2">
      <c r="A35" s="1" t="s">
        <v>175</v>
      </c>
      <c r="B35" s="1">
        <f>AVERAGE(B2:B31)</f>
        <v>276.80413202000005</v>
      </c>
      <c r="C35" s="1">
        <f t="shared" ref="C35:F35" si="8">AVERAGE(C2:C31)</f>
        <v>1.7549822333333329</v>
      </c>
      <c r="D35" s="1">
        <f t="shared" si="8"/>
        <v>4470.2129999999997</v>
      </c>
      <c r="E35" s="1">
        <f t="shared" si="8"/>
        <v>1.6324822566666664</v>
      </c>
      <c r="F35" s="1">
        <f t="shared" si="8"/>
        <v>56.147608666666656</v>
      </c>
    </row>
    <row r="36" spans="1:6" x14ac:dyDescent="0.2">
      <c r="A36" s="1" t="s">
        <v>176</v>
      </c>
      <c r="B36" s="1">
        <f>MIN(B2:B31)</f>
        <v>4.3837599999999997E-2</v>
      </c>
      <c r="C36" s="1">
        <f t="shared" ref="C36:F36" si="9">MIN(C2:C31)</f>
        <v>0.13828699999999999</v>
      </c>
      <c r="D36" s="1">
        <f t="shared" si="9"/>
        <v>4468.68</v>
      </c>
      <c r="E36" s="1">
        <f t="shared" si="9"/>
        <v>9.6246700000000004E-2</v>
      </c>
      <c r="F36" s="1">
        <f t="shared" si="9"/>
        <v>6.9748599999999996</v>
      </c>
    </row>
    <row r="37" spans="1:6" x14ac:dyDescent="0.2">
      <c r="A37" s="1" t="s">
        <v>177</v>
      </c>
      <c r="B37" s="1">
        <f>MAX(B2:B31)</f>
        <v>3061.07</v>
      </c>
      <c r="C37" s="1">
        <f t="shared" ref="C37:F37" si="10">MAX(C2:C31)</f>
        <v>5.1321300000000001</v>
      </c>
      <c r="D37" s="1">
        <f t="shared" si="10"/>
        <v>4475.6899999999996</v>
      </c>
      <c r="E37" s="1">
        <f t="shared" si="10"/>
        <v>7.10764</v>
      </c>
      <c r="F37" s="1">
        <f t="shared" si="10"/>
        <v>129.035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FBA44-F156-414E-9249-AE3FFD8B3072}">
  <dimension ref="A1:P114"/>
  <sheetViews>
    <sheetView topLeftCell="A88" workbookViewId="0">
      <selection activeCell="B114" sqref="B114:F114"/>
    </sheetView>
  </sheetViews>
  <sheetFormatPr defaultRowHeight="14.25" x14ac:dyDescent="0.2"/>
  <cols>
    <col min="1" max="1" width="19" style="1" customWidth="1"/>
    <col min="2" max="2" width="10.5" style="1" bestFit="1" customWidth="1"/>
    <col min="3" max="3" width="16.375" style="1" bestFit="1" customWidth="1"/>
    <col min="4" max="4" width="13.625" style="1" bestFit="1" customWidth="1"/>
    <col min="5" max="5" width="14.625" style="1" bestFit="1" customWidth="1"/>
    <col min="6" max="6" width="14.375" style="1" bestFit="1" customWidth="1"/>
    <col min="7" max="8" width="9" style="1"/>
    <col min="9" max="9" width="11" style="1" customWidth="1"/>
    <col min="10" max="10" width="9" style="1"/>
    <col min="11" max="11" width="13" style="1" bestFit="1" customWidth="1"/>
    <col min="12" max="12" width="12.75" style="1" bestFit="1" customWidth="1"/>
    <col min="13" max="13" width="16.375" style="1" bestFit="1" customWidth="1"/>
    <col min="14" max="14" width="13.625" style="1" bestFit="1" customWidth="1"/>
    <col min="15" max="15" width="14.625" style="1" bestFit="1" customWidth="1"/>
    <col min="16" max="16" width="14.375" style="1" bestFit="1" customWidth="1"/>
    <col min="17" max="16384" width="9" style="1"/>
  </cols>
  <sheetData>
    <row r="1" spans="1:16" x14ac:dyDescent="0.2">
      <c r="A1" s="1" t="s">
        <v>36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178</v>
      </c>
      <c r="K1" s="1" t="s">
        <v>183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</row>
    <row r="2" spans="1:16" x14ac:dyDescent="0.2">
      <c r="A2" s="1" t="s">
        <v>37</v>
      </c>
      <c r="B2" s="1">
        <v>3.3062299999999998</v>
      </c>
      <c r="C2" s="1">
        <v>0.69354700000000002</v>
      </c>
      <c r="D2" s="1">
        <v>4075.07</v>
      </c>
      <c r="E2" s="1">
        <v>0.90549999999999997</v>
      </c>
      <c r="F2" s="1">
        <v>12.5717</v>
      </c>
      <c r="I2" s="3">
        <v>36342</v>
      </c>
      <c r="K2" s="1">
        <v>1999</v>
      </c>
      <c r="L2" s="1">
        <f>AVERAGE(B2:B3)</f>
        <v>6.2688449999999998</v>
      </c>
      <c r="M2" s="1">
        <f t="shared" ref="M2:P2" si="0">AVERAGE(C2:C3)</f>
        <v>0.758378</v>
      </c>
      <c r="N2" s="1">
        <f t="shared" si="0"/>
        <v>4075.2449999999999</v>
      </c>
      <c r="O2" s="1">
        <f t="shared" si="0"/>
        <v>1.07935</v>
      </c>
      <c r="P2" s="1">
        <f t="shared" si="0"/>
        <v>17.809950000000001</v>
      </c>
    </row>
    <row r="3" spans="1:16" x14ac:dyDescent="0.2">
      <c r="A3" s="1" t="s">
        <v>38</v>
      </c>
      <c r="B3" s="1">
        <v>9.2314600000000002</v>
      </c>
      <c r="C3" s="1">
        <v>0.82320899999999997</v>
      </c>
      <c r="D3" s="1">
        <v>4075.42</v>
      </c>
      <c r="E3" s="1">
        <v>1.2532000000000001</v>
      </c>
      <c r="F3" s="1">
        <v>23.048200000000001</v>
      </c>
      <c r="I3" s="3">
        <v>36404</v>
      </c>
      <c r="K3" s="1">
        <v>2000</v>
      </c>
      <c r="L3" s="1">
        <f>AVERAGE(B4:B7)</f>
        <v>6.1034892500000009</v>
      </c>
      <c r="M3" s="1">
        <f t="shared" ref="M3:P3" si="1">AVERAGE(C4:C7)</f>
        <v>0.71679999999999999</v>
      </c>
      <c r="N3" s="1">
        <f t="shared" si="1"/>
        <v>4075.1650000000004</v>
      </c>
      <c r="O3" s="1">
        <f t="shared" si="1"/>
        <v>1.003425</v>
      </c>
      <c r="P3" s="1">
        <f t="shared" si="1"/>
        <v>16.762319999999999</v>
      </c>
    </row>
    <row r="4" spans="1:16" x14ac:dyDescent="0.2">
      <c r="A4" s="1" t="s">
        <v>39</v>
      </c>
      <c r="B4" s="1">
        <v>11.881600000000001</v>
      </c>
      <c r="C4" s="1">
        <v>0.88257699999999994</v>
      </c>
      <c r="D4" s="1">
        <v>4075.51</v>
      </c>
      <c r="E4" s="1">
        <v>1.3486</v>
      </c>
      <c r="F4" s="1">
        <v>25.1435</v>
      </c>
      <c r="I4" s="3">
        <v>36617</v>
      </c>
      <c r="K4" s="1">
        <v>2001</v>
      </c>
      <c r="L4" s="1">
        <f>AVERAGE(B8:B13)</f>
        <v>13.793587833333333</v>
      </c>
      <c r="M4" s="1">
        <f t="shared" ref="M4:P4" si="2">AVERAGE(C8:C13)</f>
        <v>0.79088599999999998</v>
      </c>
      <c r="N4" s="1">
        <f t="shared" si="2"/>
        <v>4075.4333333333338</v>
      </c>
      <c r="O4" s="1">
        <f t="shared" si="2"/>
        <v>1.2703333333333335</v>
      </c>
      <c r="P4" s="1">
        <f t="shared" si="2"/>
        <v>28.286429999999999</v>
      </c>
    </row>
    <row r="5" spans="1:16" x14ac:dyDescent="0.2">
      <c r="A5" s="1" t="s">
        <v>40</v>
      </c>
      <c r="B5" s="1">
        <v>6.0356100000000001</v>
      </c>
      <c r="C5" s="1">
        <v>0.75174700000000005</v>
      </c>
      <c r="D5" s="1">
        <v>4075.27</v>
      </c>
      <c r="E5" s="1">
        <v>1.1089</v>
      </c>
      <c r="F5" s="1">
        <v>18.857600000000001</v>
      </c>
      <c r="I5" s="3">
        <v>36647</v>
      </c>
      <c r="K5" s="1">
        <v>2002</v>
      </c>
      <c r="L5" s="1">
        <f>AVERAGE(B14:B17)</f>
        <v>9.988505</v>
      </c>
      <c r="M5" s="1">
        <f t="shared" ref="M5:P5" si="3">AVERAGE(C14:C17)</f>
        <v>0.79968374999999992</v>
      </c>
      <c r="N5" s="1">
        <f t="shared" si="3"/>
        <v>4075.4250000000002</v>
      </c>
      <c r="O5" s="1">
        <f t="shared" si="3"/>
        <v>1.26285</v>
      </c>
      <c r="P5" s="1">
        <f t="shared" si="3"/>
        <v>26.714949999999998</v>
      </c>
    </row>
    <row r="6" spans="1:16" x14ac:dyDescent="0.2">
      <c r="A6" s="1" t="s">
        <v>41</v>
      </c>
      <c r="B6" s="1">
        <v>0.46113700000000002</v>
      </c>
      <c r="C6" s="1">
        <v>0.48112899999999997</v>
      </c>
      <c r="D6" s="1">
        <v>4074.61</v>
      </c>
      <c r="E6" s="1">
        <v>0.44729999999999998</v>
      </c>
      <c r="F6" s="1">
        <v>4.1905799999999997</v>
      </c>
      <c r="I6" s="3">
        <v>36770</v>
      </c>
      <c r="K6" s="1">
        <v>2003</v>
      </c>
      <c r="L6" s="1">
        <f>AVERAGE(B18:B22)</f>
        <v>31.675629400000002</v>
      </c>
      <c r="M6" s="1">
        <f t="shared" ref="M6:P6" si="4">AVERAGE(C18:C22)</f>
        <v>0.86958360000000001</v>
      </c>
      <c r="N6" s="1">
        <f t="shared" si="4"/>
        <v>4075.596</v>
      </c>
      <c r="O6" s="1">
        <f t="shared" si="4"/>
        <v>1.4319399999999998</v>
      </c>
      <c r="P6" s="1">
        <f t="shared" si="4"/>
        <v>38.134295999999999</v>
      </c>
    </row>
    <row r="7" spans="1:16" x14ac:dyDescent="0.2">
      <c r="A7" s="1" t="s">
        <v>42</v>
      </c>
      <c r="B7" s="1">
        <v>6.0356100000000001</v>
      </c>
      <c r="C7" s="1">
        <v>0.75174700000000005</v>
      </c>
      <c r="D7" s="1">
        <v>4075.27</v>
      </c>
      <c r="E7" s="1">
        <v>1.1089</v>
      </c>
      <c r="F7" s="1">
        <v>18.857600000000001</v>
      </c>
      <c r="I7" s="3">
        <v>36800</v>
      </c>
      <c r="K7" s="1">
        <v>2004</v>
      </c>
      <c r="L7" s="1">
        <f>AVERAGE(B23:B26)</f>
        <v>768.71021500000006</v>
      </c>
      <c r="M7" s="1">
        <f t="shared" ref="M7:P7" si="5">AVERAGE(C23:C26)</f>
        <v>1.4289800000000001</v>
      </c>
      <c r="N7" s="1">
        <f t="shared" si="5"/>
        <v>4076.94</v>
      </c>
      <c r="O7" s="1">
        <f t="shared" si="5"/>
        <v>2.7774499999999995</v>
      </c>
      <c r="P7" s="1">
        <f t="shared" si="5"/>
        <v>64.430142500000002</v>
      </c>
    </row>
    <row r="8" spans="1:16" x14ac:dyDescent="0.2">
      <c r="A8" s="1" t="s">
        <v>44</v>
      </c>
      <c r="B8" s="1">
        <v>33.407600000000002</v>
      </c>
      <c r="C8" s="1">
        <v>0.99502800000000002</v>
      </c>
      <c r="D8" s="1">
        <v>4075.99</v>
      </c>
      <c r="E8" s="1">
        <v>1.8312999999999999</v>
      </c>
      <c r="F8" s="1">
        <v>52.382300000000001</v>
      </c>
      <c r="I8" s="3">
        <v>36982</v>
      </c>
      <c r="K8" s="1">
        <v>2005</v>
      </c>
      <c r="L8" s="1">
        <f>AVERAGE(B27:B30)</f>
        <v>76.424547500000003</v>
      </c>
      <c r="M8" s="1">
        <f t="shared" ref="M8:P8" si="6">AVERAGE(C27:C30)</f>
        <v>0.99767600000000001</v>
      </c>
      <c r="N8" s="1">
        <f t="shared" si="6"/>
        <v>4075.76</v>
      </c>
      <c r="O8" s="1">
        <f t="shared" si="6"/>
        <v>1.5949500000000001</v>
      </c>
      <c r="P8" s="1">
        <f t="shared" si="6"/>
        <v>36.667599999999993</v>
      </c>
    </row>
    <row r="9" spans="1:16" x14ac:dyDescent="0.2">
      <c r="A9" s="1" t="s">
        <v>45</v>
      </c>
      <c r="B9" s="1">
        <v>7.6867099999999997</v>
      </c>
      <c r="C9" s="1">
        <v>0.79434199999999999</v>
      </c>
      <c r="D9" s="1">
        <v>4075.35</v>
      </c>
      <c r="E9" s="1">
        <v>1.1842999999999999</v>
      </c>
      <c r="F9" s="1">
        <v>20.9529</v>
      </c>
      <c r="I9" s="3">
        <v>37043</v>
      </c>
      <c r="K9" s="1">
        <v>2006</v>
      </c>
      <c r="L9" s="1">
        <f>AVERAGE(B31:B35)</f>
        <v>5.5120434000000005</v>
      </c>
      <c r="M9" s="1">
        <f t="shared" ref="M9:P9" si="7">AVERAGE(C31:C35)</f>
        <v>0.66866900000000007</v>
      </c>
      <c r="N9" s="1">
        <f t="shared" si="7"/>
        <v>4075.0839999999998</v>
      </c>
      <c r="O9" s="1">
        <f t="shared" si="7"/>
        <v>0.92249999999999999</v>
      </c>
      <c r="P9" s="1">
        <f t="shared" si="7"/>
        <v>15.086088</v>
      </c>
    </row>
    <row r="10" spans="1:16" x14ac:dyDescent="0.2">
      <c r="A10" s="1" t="s">
        <v>46</v>
      </c>
      <c r="B10" s="1">
        <v>0.46113700000000002</v>
      </c>
      <c r="C10" s="1">
        <v>0.48112899999999997</v>
      </c>
      <c r="D10" s="1">
        <v>4074.61</v>
      </c>
      <c r="E10" s="1">
        <v>0.44729999999999998</v>
      </c>
      <c r="F10" s="1">
        <v>4.1905799999999997</v>
      </c>
      <c r="I10" s="3">
        <v>37104</v>
      </c>
      <c r="K10" s="1">
        <v>2007</v>
      </c>
      <c r="L10" s="1">
        <f>AVERAGE(B36:B42)</f>
        <v>4.3792485714285707</v>
      </c>
      <c r="M10" s="1">
        <f t="shared" ref="M10:P10" si="8">AVERAGE(C36:C42)</f>
        <v>0.68302157142857145</v>
      </c>
      <c r="N10" s="1">
        <f t="shared" si="8"/>
        <v>4075.1342857142859</v>
      </c>
      <c r="O10" s="1">
        <f t="shared" si="8"/>
        <v>0.97064285714285703</v>
      </c>
      <c r="P10" s="1">
        <f t="shared" si="8"/>
        <v>17.66028</v>
      </c>
    </row>
    <row r="11" spans="1:16" x14ac:dyDescent="0.2">
      <c r="A11" s="1" t="s">
        <v>47</v>
      </c>
      <c r="B11" s="1">
        <v>3.8454799999999998</v>
      </c>
      <c r="C11" s="1">
        <v>0.69358600000000004</v>
      </c>
      <c r="D11" s="1">
        <v>4075.13</v>
      </c>
      <c r="E11" s="1">
        <v>0.96579999999999999</v>
      </c>
      <c r="F11" s="1">
        <v>14.667</v>
      </c>
      <c r="I11" s="3">
        <v>37135</v>
      </c>
      <c r="K11" s="1">
        <v>2008</v>
      </c>
      <c r="L11" s="1">
        <f>AVERAGE(B43:B47)</f>
        <v>7.4528245000000002</v>
      </c>
      <c r="M11" s="1">
        <f t="shared" ref="M11:P11" si="9">AVERAGE(C43:C47)</f>
        <v>0.63874340000000007</v>
      </c>
      <c r="N11" s="1">
        <f t="shared" si="9"/>
        <v>4075.192</v>
      </c>
      <c r="O11" s="1">
        <f t="shared" si="9"/>
        <v>1.02756</v>
      </c>
      <c r="P11" s="1">
        <f t="shared" si="9"/>
        <v>25.562537999999996</v>
      </c>
    </row>
    <row r="12" spans="1:16" x14ac:dyDescent="0.2">
      <c r="A12" s="1" t="s">
        <v>48</v>
      </c>
      <c r="B12" s="1">
        <v>15.400399999999999</v>
      </c>
      <c r="C12" s="1">
        <v>0.89056500000000005</v>
      </c>
      <c r="D12" s="1">
        <v>4075.65</v>
      </c>
      <c r="E12" s="1">
        <v>1.4895</v>
      </c>
      <c r="F12" s="1">
        <v>31.429400000000001</v>
      </c>
      <c r="I12" s="3">
        <v>37165</v>
      </c>
      <c r="K12" s="1">
        <v>2009</v>
      </c>
      <c r="L12" s="1">
        <f>AVERAGE(B48:B52)</f>
        <v>7.9535300000000007</v>
      </c>
      <c r="M12" s="1">
        <f t="shared" ref="M12:P12" si="10">AVERAGE(C48:C52)</f>
        <v>0.76664739999999998</v>
      </c>
      <c r="N12" s="1">
        <f t="shared" si="10"/>
        <v>4075.2740000000003</v>
      </c>
      <c r="O12" s="1">
        <f t="shared" si="10"/>
        <v>1.1104800000000001</v>
      </c>
      <c r="P12" s="1">
        <f t="shared" si="10"/>
        <v>18.857580000000002</v>
      </c>
    </row>
    <row r="13" spans="1:16" x14ac:dyDescent="0.2">
      <c r="A13" s="1" t="s">
        <v>49</v>
      </c>
      <c r="B13" s="1">
        <v>21.9602</v>
      </c>
      <c r="C13" s="1">
        <v>0.89066599999999996</v>
      </c>
      <c r="D13" s="1">
        <v>4075.87</v>
      </c>
      <c r="E13" s="1">
        <v>1.7038</v>
      </c>
      <c r="F13" s="1">
        <v>46.096400000000003</v>
      </c>
      <c r="I13" s="3">
        <v>37196</v>
      </c>
      <c r="K13" s="1">
        <v>2010</v>
      </c>
      <c r="L13" s="1">
        <f>AVERAGE(B53:B58)</f>
        <v>10.803818333333334</v>
      </c>
      <c r="M13" s="1">
        <f t="shared" ref="M13:P13" si="11">AVERAGE(C53:C58)</f>
        <v>0.782698</v>
      </c>
      <c r="N13" s="1">
        <f t="shared" si="11"/>
        <v>4075.4116666666669</v>
      </c>
      <c r="O13" s="1">
        <f t="shared" si="11"/>
        <v>1.2481500000000001</v>
      </c>
      <c r="P13" s="1">
        <f t="shared" si="11"/>
        <v>28.635649999999998</v>
      </c>
    </row>
    <row r="14" spans="1:16" x14ac:dyDescent="0.2">
      <c r="A14" s="1" t="s">
        <v>50</v>
      </c>
      <c r="B14" s="1">
        <v>10.4217</v>
      </c>
      <c r="C14" s="1">
        <v>0.76839599999999997</v>
      </c>
      <c r="D14" s="1">
        <v>4075.51</v>
      </c>
      <c r="E14" s="1">
        <v>1.3503000000000001</v>
      </c>
      <c r="F14" s="1">
        <v>39.810499999999998</v>
      </c>
      <c r="I14" s="3">
        <v>37347</v>
      </c>
      <c r="K14" s="1">
        <v>2011</v>
      </c>
      <c r="L14" s="1">
        <f>AVERAGE(B59:B61)</f>
        <v>12.747134166666667</v>
      </c>
      <c r="M14" s="1">
        <f t="shared" ref="M14:P14" si="12">AVERAGE(C59:C61)</f>
        <v>0.72023666666666664</v>
      </c>
      <c r="N14" s="1">
        <f t="shared" si="12"/>
        <v>4075.2566666666667</v>
      </c>
      <c r="O14" s="1">
        <f t="shared" si="12"/>
        <v>1.0904666666666667</v>
      </c>
      <c r="P14" s="1">
        <f t="shared" si="12"/>
        <v>22.349763333333332</v>
      </c>
    </row>
    <row r="15" spans="1:16" x14ac:dyDescent="0.2">
      <c r="A15" s="1" t="s">
        <v>51</v>
      </c>
      <c r="B15" s="1">
        <v>17.915700000000001</v>
      </c>
      <c r="C15" s="1">
        <v>0.97261799999999998</v>
      </c>
      <c r="D15" s="1">
        <v>4075.69</v>
      </c>
      <c r="E15" s="1">
        <v>1.5298</v>
      </c>
      <c r="F15" s="1">
        <v>29.334099999999999</v>
      </c>
      <c r="I15" s="3">
        <v>37408</v>
      </c>
      <c r="K15" s="1">
        <v>2012</v>
      </c>
      <c r="L15" s="1">
        <f>AVERAGE(B62:B66)</f>
        <v>62.472385999999993</v>
      </c>
      <c r="M15" s="1">
        <f t="shared" ref="M15:P15" si="13">AVERAGE(C62:C66)</f>
        <v>1.0169114000000001</v>
      </c>
      <c r="N15" s="1">
        <f t="shared" si="13"/>
        <v>4075.8559999999998</v>
      </c>
      <c r="O15" s="1">
        <f t="shared" si="13"/>
        <v>1.69232</v>
      </c>
      <c r="P15" s="1">
        <f t="shared" si="13"/>
        <v>39.391460000000002</v>
      </c>
    </row>
    <row r="16" spans="1:16" x14ac:dyDescent="0.2">
      <c r="A16" s="1" t="s">
        <v>52</v>
      </c>
      <c r="B16" s="1">
        <v>7.6867099999999997</v>
      </c>
      <c r="C16" s="1">
        <v>0.79434199999999999</v>
      </c>
      <c r="D16" s="1">
        <v>4075.35</v>
      </c>
      <c r="E16" s="1">
        <v>1.1842999999999999</v>
      </c>
      <c r="F16" s="1">
        <v>20.9529</v>
      </c>
      <c r="I16" s="3">
        <v>37469</v>
      </c>
      <c r="K16" s="1">
        <v>2013</v>
      </c>
      <c r="L16" s="1">
        <f>AVERAGE(B67:B73)</f>
        <v>14.821195714285716</v>
      </c>
      <c r="M16" s="1">
        <f t="shared" ref="M16:P16" si="14">AVERAGE(C67:C73)</f>
        <v>0.84461285714285705</v>
      </c>
      <c r="N16" s="1">
        <f t="shared" si="14"/>
        <v>4075.5328571428572</v>
      </c>
      <c r="O16" s="1">
        <f t="shared" si="14"/>
        <v>1.3697999999999999</v>
      </c>
      <c r="P16" s="1">
        <f t="shared" si="14"/>
        <v>31.130051428571427</v>
      </c>
    </row>
    <row r="17" spans="1:16" x14ac:dyDescent="0.2">
      <c r="A17" s="1" t="s">
        <v>53</v>
      </c>
      <c r="B17" s="1">
        <v>3.92991</v>
      </c>
      <c r="C17" s="1">
        <v>0.66337900000000005</v>
      </c>
      <c r="D17" s="1">
        <v>4075.15</v>
      </c>
      <c r="E17" s="1">
        <v>0.98699999999999999</v>
      </c>
      <c r="F17" s="1">
        <v>16.7623</v>
      </c>
      <c r="I17" s="3">
        <v>37530</v>
      </c>
      <c r="K17" s="1">
        <v>2014</v>
      </c>
      <c r="L17" s="1">
        <f>AVERAGE(B74:B80)</f>
        <v>6.2695814285714286</v>
      </c>
      <c r="M17" s="1">
        <f t="shared" ref="M17:P17" si="15">AVERAGE(C74:C80)</f>
        <v>0.73853214285714286</v>
      </c>
      <c r="N17" s="1">
        <f t="shared" si="15"/>
        <v>4075.221428571429</v>
      </c>
      <c r="O17" s="1">
        <f t="shared" si="15"/>
        <v>1.0568571428571427</v>
      </c>
      <c r="P17" s="1">
        <f t="shared" si="15"/>
        <v>19.755599999999998</v>
      </c>
    </row>
    <row r="18" spans="1:16" x14ac:dyDescent="0.2">
      <c r="A18" s="1" t="s">
        <v>54</v>
      </c>
      <c r="B18" s="1">
        <v>120.867</v>
      </c>
      <c r="C18" s="1">
        <v>1.4536</v>
      </c>
      <c r="D18" s="1">
        <v>4076.68</v>
      </c>
      <c r="E18" s="1">
        <v>2.5165999999999999</v>
      </c>
      <c r="F18" s="1">
        <v>73.3352</v>
      </c>
      <c r="I18" s="3">
        <v>37622</v>
      </c>
      <c r="K18" s="1">
        <v>2015</v>
      </c>
      <c r="L18" s="1">
        <f>AVERAGE(B81:B88)</f>
        <v>7.9833162499999997</v>
      </c>
      <c r="M18" s="1">
        <f t="shared" ref="M18:P18" si="16">AVERAGE(C81:C88)</f>
        <v>0.73566225000000007</v>
      </c>
      <c r="N18" s="1">
        <f t="shared" si="16"/>
        <v>4075.2862499999997</v>
      </c>
      <c r="O18" s="1">
        <f t="shared" si="16"/>
        <v>1.12185</v>
      </c>
      <c r="P18" s="1">
        <f t="shared" si="16"/>
        <v>23.048183749999996</v>
      </c>
    </row>
    <row r="19" spans="1:16" x14ac:dyDescent="0.2">
      <c r="A19" s="1" t="s">
        <v>56</v>
      </c>
      <c r="B19" s="1">
        <v>14.832800000000001</v>
      </c>
      <c r="C19" s="1">
        <v>0.69337400000000005</v>
      </c>
      <c r="D19" s="1">
        <v>4075.74</v>
      </c>
      <c r="E19" s="1">
        <v>1.5784</v>
      </c>
      <c r="F19" s="1">
        <v>64.953999999999994</v>
      </c>
      <c r="I19" s="3">
        <v>37712</v>
      </c>
      <c r="K19" s="1">
        <v>2016</v>
      </c>
      <c r="L19" s="1">
        <f>AVERAGE(B89:B95)</f>
        <v>35.048670928571433</v>
      </c>
      <c r="M19" s="1">
        <f t="shared" ref="M19:P19" si="17">AVERAGE(C89:C95)</f>
        <v>0.74513428571428564</v>
      </c>
      <c r="N19" s="1">
        <f t="shared" si="17"/>
        <v>4075.2114285714283</v>
      </c>
      <c r="O19" s="1">
        <f t="shared" si="17"/>
        <v>1.0461571428571428</v>
      </c>
      <c r="P19" s="1">
        <f t="shared" si="17"/>
        <v>21.551564285714285</v>
      </c>
    </row>
    <row r="20" spans="1:16" x14ac:dyDescent="0.2">
      <c r="A20" s="1" t="s">
        <v>57</v>
      </c>
      <c r="B20" s="1">
        <v>0.46113700000000002</v>
      </c>
      <c r="C20" s="1">
        <v>0.48112899999999997</v>
      </c>
      <c r="D20" s="1">
        <v>4074.61</v>
      </c>
      <c r="E20" s="1">
        <v>0.44729999999999998</v>
      </c>
      <c r="F20" s="1">
        <v>4.1905799999999997</v>
      </c>
      <c r="I20" s="3">
        <v>37742</v>
      </c>
      <c r="K20" s="1">
        <v>2017</v>
      </c>
      <c r="L20" s="1">
        <f>AVERAGE(B96:B98)</f>
        <v>11.02496</v>
      </c>
      <c r="M20" s="1">
        <f t="shared" ref="M20:P20" si="18">AVERAGE(C96:C98)</f>
        <v>0.74921666666666675</v>
      </c>
      <c r="N20" s="1">
        <f t="shared" si="18"/>
        <v>4075.48</v>
      </c>
      <c r="O20" s="1">
        <f t="shared" si="18"/>
        <v>1.3149</v>
      </c>
      <c r="P20" s="1">
        <f t="shared" si="18"/>
        <v>38.41363333333333</v>
      </c>
    </row>
    <row r="21" spans="1:16" x14ac:dyDescent="0.2">
      <c r="A21" s="1" t="s">
        <v>58</v>
      </c>
      <c r="B21" s="1">
        <v>7.6867099999999997</v>
      </c>
      <c r="C21" s="1">
        <v>0.79434199999999999</v>
      </c>
      <c r="D21" s="1">
        <v>4075.35</v>
      </c>
      <c r="E21" s="1">
        <v>1.1842999999999999</v>
      </c>
      <c r="F21" s="1">
        <v>20.9529</v>
      </c>
      <c r="I21" s="3">
        <v>37803</v>
      </c>
      <c r="K21" s="1">
        <v>2018</v>
      </c>
      <c r="L21" s="1">
        <f>AVERAGE(B100:B102)</f>
        <v>8.6766566666666662</v>
      </c>
      <c r="M21" s="1">
        <f t="shared" ref="M21:P21" si="19">AVERAGE(C100:C102)</f>
        <v>0.69600799999999996</v>
      </c>
      <c r="N21" s="1">
        <f t="shared" si="19"/>
        <v>4075.2966666666671</v>
      </c>
      <c r="O21" s="1">
        <f t="shared" si="19"/>
        <v>1.1353333333333333</v>
      </c>
      <c r="P21" s="1">
        <f t="shared" si="19"/>
        <v>28.635620000000003</v>
      </c>
    </row>
    <row r="22" spans="1:16" x14ac:dyDescent="0.2">
      <c r="A22" s="1" t="s">
        <v>59</v>
      </c>
      <c r="B22" s="1">
        <v>14.5305</v>
      </c>
      <c r="C22" s="1">
        <v>0.92547299999999999</v>
      </c>
      <c r="D22" s="1">
        <v>4075.6</v>
      </c>
      <c r="E22" s="1">
        <v>1.4331</v>
      </c>
      <c r="F22" s="1">
        <v>27.238800000000001</v>
      </c>
      <c r="I22" s="3">
        <v>37865</v>
      </c>
      <c r="K22" s="1">
        <v>2019</v>
      </c>
      <c r="L22" s="1">
        <f>AVERAGE(B103:B107)</f>
        <v>6.8280744999999996</v>
      </c>
      <c r="M22" s="1">
        <f t="shared" ref="M22:P22" si="20">AVERAGE(C103:C107)</f>
        <v>0.66227879999999995</v>
      </c>
      <c r="N22" s="1">
        <f t="shared" si="20"/>
        <v>4075.1200000000003</v>
      </c>
      <c r="O22" s="1">
        <f t="shared" si="20"/>
        <v>0.95486000000000004</v>
      </c>
      <c r="P22" s="1">
        <f t="shared" si="20"/>
        <v>20.114789999999999</v>
      </c>
    </row>
    <row r="23" spans="1:16" x14ac:dyDescent="0.2">
      <c r="A23" s="1" t="s">
        <v>60</v>
      </c>
      <c r="B23" s="1">
        <v>3053.03</v>
      </c>
      <c r="C23" s="1">
        <v>3.5235599999999998</v>
      </c>
      <c r="D23" s="1">
        <v>4082.13</v>
      </c>
      <c r="E23" s="1">
        <v>7.9714</v>
      </c>
      <c r="F23" s="1">
        <v>203.24299999999999</v>
      </c>
      <c r="I23" s="3">
        <v>38047</v>
      </c>
      <c r="K23" s="1">
        <v>2020</v>
      </c>
      <c r="L23" s="1">
        <f>AVERAGE(B108)</f>
        <v>13.684200000000001</v>
      </c>
      <c r="M23" s="1">
        <f t="shared" ref="M23:P23" si="21">AVERAGE(C108)</f>
        <v>0.71130400000000005</v>
      </c>
      <c r="N23" s="1">
        <f t="shared" si="21"/>
        <v>4075.68</v>
      </c>
      <c r="O23" s="1">
        <f t="shared" si="21"/>
        <v>1.5173000000000001</v>
      </c>
      <c r="P23" s="1">
        <f t="shared" si="21"/>
        <v>62.858699999999999</v>
      </c>
    </row>
    <row r="24" spans="1:16" x14ac:dyDescent="0.2">
      <c r="A24" s="1" t="s">
        <v>62</v>
      </c>
      <c r="B24" s="1">
        <v>0.69779999999999998</v>
      </c>
      <c r="C24" s="1">
        <v>0.48657400000000001</v>
      </c>
      <c r="D24" s="1">
        <v>4074.7</v>
      </c>
      <c r="E24" s="1">
        <v>0.53659999999999997</v>
      </c>
      <c r="F24" s="1">
        <v>6.2858700000000001</v>
      </c>
      <c r="I24" s="3">
        <v>38231</v>
      </c>
    </row>
    <row r="25" spans="1:16" x14ac:dyDescent="0.2">
      <c r="A25" s="1" t="s">
        <v>63</v>
      </c>
      <c r="B25" s="1">
        <v>9.2314600000000002</v>
      </c>
      <c r="C25" s="1">
        <v>0.82320899999999997</v>
      </c>
      <c r="D25" s="1">
        <v>4075.42</v>
      </c>
      <c r="E25" s="1">
        <v>1.2532000000000001</v>
      </c>
      <c r="F25" s="1">
        <v>23.048200000000001</v>
      </c>
      <c r="I25" s="3">
        <v>38261</v>
      </c>
    </row>
    <row r="26" spans="1:16" x14ac:dyDescent="0.2">
      <c r="A26" s="1" t="s">
        <v>64</v>
      </c>
      <c r="B26" s="1">
        <v>11.881600000000001</v>
      </c>
      <c r="C26" s="1">
        <v>0.88257699999999994</v>
      </c>
      <c r="D26" s="1">
        <v>4075.51</v>
      </c>
      <c r="E26" s="1">
        <v>1.3486</v>
      </c>
      <c r="F26" s="1">
        <v>25.1435</v>
      </c>
      <c r="I26" s="3">
        <v>38292</v>
      </c>
    </row>
    <row r="27" spans="1:16" x14ac:dyDescent="0.2">
      <c r="A27" s="1" t="s">
        <v>65</v>
      </c>
      <c r="B27" s="1">
        <v>291.52600000000001</v>
      </c>
      <c r="C27" s="1">
        <v>1.8229299999999999</v>
      </c>
      <c r="D27" s="1">
        <v>4077.57</v>
      </c>
      <c r="E27" s="1">
        <v>3.407</v>
      </c>
      <c r="F27" s="1">
        <v>100.574</v>
      </c>
      <c r="I27" s="3">
        <v>38443</v>
      </c>
    </row>
    <row r="28" spans="1:16" x14ac:dyDescent="0.2">
      <c r="A28" s="1" t="s">
        <v>67</v>
      </c>
      <c r="B28" s="1">
        <v>3.8454799999999998</v>
      </c>
      <c r="C28" s="1">
        <v>0.69358600000000004</v>
      </c>
      <c r="D28" s="1">
        <v>4075.13</v>
      </c>
      <c r="E28" s="1">
        <v>0.96579999999999999</v>
      </c>
      <c r="F28" s="1">
        <v>14.667</v>
      </c>
      <c r="I28" s="3">
        <v>38565</v>
      </c>
    </row>
    <row r="29" spans="1:16" x14ac:dyDescent="0.2">
      <c r="A29" s="1" t="s">
        <v>68</v>
      </c>
      <c r="B29" s="1">
        <v>7.6867099999999997</v>
      </c>
      <c r="C29" s="1">
        <v>0.79434199999999999</v>
      </c>
      <c r="D29" s="1">
        <v>4075.35</v>
      </c>
      <c r="E29" s="1">
        <v>1.1842999999999999</v>
      </c>
      <c r="F29" s="1">
        <v>20.9529</v>
      </c>
      <c r="I29" s="3">
        <v>38596</v>
      </c>
    </row>
    <row r="30" spans="1:16" x14ac:dyDescent="0.2">
      <c r="A30" s="1" t="s">
        <v>69</v>
      </c>
      <c r="B30" s="1">
        <v>2.64</v>
      </c>
      <c r="C30" s="1">
        <v>0.67984599999999995</v>
      </c>
      <c r="D30" s="1">
        <v>4074.99</v>
      </c>
      <c r="E30" s="1">
        <v>0.82269999999999999</v>
      </c>
      <c r="F30" s="1">
        <v>10.4765</v>
      </c>
      <c r="I30" s="3">
        <v>38626</v>
      </c>
    </row>
    <row r="31" spans="1:16" x14ac:dyDescent="0.2">
      <c r="A31" s="1" t="s">
        <v>70</v>
      </c>
      <c r="B31" s="1">
        <v>3.92991</v>
      </c>
      <c r="C31" s="1">
        <v>0.66337900000000005</v>
      </c>
      <c r="D31" s="1">
        <v>4075.15</v>
      </c>
      <c r="E31" s="1">
        <v>0.98699999999999999</v>
      </c>
      <c r="F31" s="1">
        <v>16.7623</v>
      </c>
      <c r="I31" s="3">
        <v>38869</v>
      </c>
    </row>
    <row r="32" spans="1:16" x14ac:dyDescent="0.2">
      <c r="A32" s="1" t="s">
        <v>71</v>
      </c>
      <c r="B32" s="1">
        <v>0.46113700000000002</v>
      </c>
      <c r="C32" s="1">
        <v>0.48112899999999997</v>
      </c>
      <c r="D32" s="1">
        <v>4074.61</v>
      </c>
      <c r="E32" s="1">
        <v>0.44729999999999998</v>
      </c>
      <c r="F32" s="1">
        <v>4.1905799999999997</v>
      </c>
      <c r="I32" s="3">
        <v>38899</v>
      </c>
    </row>
    <row r="33" spans="1:9" x14ac:dyDescent="0.2">
      <c r="A33" s="1" t="s">
        <v>72</v>
      </c>
      <c r="B33" s="1">
        <v>1.3235600000000001</v>
      </c>
      <c r="C33" s="1">
        <v>0.56284000000000001</v>
      </c>
      <c r="D33" s="1">
        <v>4074.82</v>
      </c>
      <c r="E33" s="1">
        <v>0.66139999999999999</v>
      </c>
      <c r="F33" s="1">
        <v>8.3811599999999995</v>
      </c>
      <c r="I33" s="3">
        <v>38930</v>
      </c>
    </row>
    <row r="34" spans="1:9" x14ac:dyDescent="0.2">
      <c r="A34" s="1" t="s">
        <v>73</v>
      </c>
      <c r="B34" s="1">
        <v>3.92991</v>
      </c>
      <c r="C34" s="1">
        <v>0.66337900000000005</v>
      </c>
      <c r="D34" s="1">
        <v>4075.15</v>
      </c>
      <c r="E34" s="1">
        <v>0.98699999999999999</v>
      </c>
      <c r="F34" s="1">
        <v>16.7623</v>
      </c>
      <c r="I34" s="3">
        <v>38961</v>
      </c>
    </row>
    <row r="35" spans="1:9" x14ac:dyDescent="0.2">
      <c r="A35" s="1" t="s">
        <v>74</v>
      </c>
      <c r="B35" s="1">
        <v>17.915700000000001</v>
      </c>
      <c r="C35" s="1">
        <v>0.97261799999999998</v>
      </c>
      <c r="D35" s="1">
        <v>4075.69</v>
      </c>
      <c r="E35" s="1">
        <v>1.5298</v>
      </c>
      <c r="F35" s="1">
        <v>29.334099999999999</v>
      </c>
      <c r="I35" s="3">
        <v>38991</v>
      </c>
    </row>
    <row r="36" spans="1:9" x14ac:dyDescent="0.2">
      <c r="A36" s="1" t="s">
        <v>75</v>
      </c>
      <c r="B36" s="1">
        <v>3.3062299999999998</v>
      </c>
      <c r="C36" s="1">
        <v>0.69354700000000002</v>
      </c>
      <c r="D36" s="1">
        <v>4075.07</v>
      </c>
      <c r="E36" s="1">
        <v>0.90549999999999997</v>
      </c>
      <c r="F36" s="1">
        <v>12.5717</v>
      </c>
      <c r="I36" s="3">
        <v>39114</v>
      </c>
    </row>
    <row r="37" spans="1:9" x14ac:dyDescent="0.2">
      <c r="A37" s="1" t="s">
        <v>76</v>
      </c>
      <c r="B37" s="1">
        <v>3.8454799999999998</v>
      </c>
      <c r="C37" s="1">
        <v>0.69358600000000004</v>
      </c>
      <c r="D37" s="1">
        <v>4075.13</v>
      </c>
      <c r="E37" s="1">
        <v>0.96579999999999999</v>
      </c>
      <c r="F37" s="1">
        <v>14.667</v>
      </c>
      <c r="I37" s="3">
        <v>39203</v>
      </c>
    </row>
    <row r="38" spans="1:9" x14ac:dyDescent="0.2">
      <c r="A38" s="1" t="s">
        <v>78</v>
      </c>
      <c r="B38" s="1">
        <v>3.92991</v>
      </c>
      <c r="C38" s="1">
        <v>0.66337900000000005</v>
      </c>
      <c r="D38" s="1">
        <v>4075.15</v>
      </c>
      <c r="E38" s="1">
        <v>0.98699999999999999</v>
      </c>
      <c r="F38" s="1">
        <v>16.7623</v>
      </c>
      <c r="I38" s="3">
        <v>39264</v>
      </c>
    </row>
    <row r="39" spans="1:9" x14ac:dyDescent="0.2">
      <c r="A39" s="1" t="s">
        <v>79</v>
      </c>
      <c r="B39" s="1">
        <v>3.8454799999999998</v>
      </c>
      <c r="C39" s="1">
        <v>0.69358600000000004</v>
      </c>
      <c r="D39" s="1">
        <v>4075.13</v>
      </c>
      <c r="E39" s="1">
        <v>0.96579999999999999</v>
      </c>
      <c r="F39" s="1">
        <v>14.667</v>
      </c>
      <c r="I39" s="3">
        <v>39295</v>
      </c>
    </row>
    <row r="40" spans="1:9" x14ac:dyDescent="0.2">
      <c r="A40" s="1" t="s">
        <v>80</v>
      </c>
      <c r="B40" s="1">
        <v>1.3235600000000001</v>
      </c>
      <c r="C40" s="1">
        <v>0.56284000000000001</v>
      </c>
      <c r="D40" s="1">
        <v>4074.82</v>
      </c>
      <c r="E40" s="1">
        <v>0.66139999999999999</v>
      </c>
      <c r="F40" s="1">
        <v>8.3811599999999995</v>
      </c>
      <c r="I40" s="3">
        <v>39326</v>
      </c>
    </row>
    <row r="41" spans="1:9" x14ac:dyDescent="0.2">
      <c r="A41" s="1" t="s">
        <v>81</v>
      </c>
      <c r="B41" s="1">
        <v>3.8454799999999998</v>
      </c>
      <c r="C41" s="1">
        <v>0.69358600000000004</v>
      </c>
      <c r="D41" s="1">
        <v>4075.13</v>
      </c>
      <c r="E41" s="1">
        <v>0.96579999999999999</v>
      </c>
      <c r="F41" s="1">
        <v>14.667</v>
      </c>
      <c r="I41" s="3">
        <v>39356</v>
      </c>
    </row>
    <row r="42" spans="1:9" x14ac:dyDescent="0.2">
      <c r="A42" s="1" t="s">
        <v>82</v>
      </c>
      <c r="B42" s="1">
        <v>10.5586</v>
      </c>
      <c r="C42" s="1">
        <v>0.78062699999999996</v>
      </c>
      <c r="D42" s="1">
        <v>4075.51</v>
      </c>
      <c r="E42" s="1">
        <v>1.3431999999999999</v>
      </c>
      <c r="F42" s="1">
        <v>41.905799999999999</v>
      </c>
      <c r="I42" s="3">
        <v>39387</v>
      </c>
    </row>
    <row r="43" spans="1:9" x14ac:dyDescent="0.2">
      <c r="A43" s="1" t="s">
        <v>83</v>
      </c>
      <c r="B43" s="1">
        <v>14.832800000000001</v>
      </c>
      <c r="C43" s="1">
        <v>0.69337400000000005</v>
      </c>
      <c r="D43" s="1">
        <v>4075.74</v>
      </c>
      <c r="E43" s="1">
        <v>1.5784</v>
      </c>
      <c r="F43" s="1">
        <v>64.953999999999994</v>
      </c>
      <c r="I43" s="3">
        <v>39508</v>
      </c>
    </row>
    <row r="44" spans="1:9" x14ac:dyDescent="0.2">
      <c r="A44" s="1" t="s">
        <v>84</v>
      </c>
      <c r="B44" s="1">
        <v>4.1002499999999997E-2</v>
      </c>
      <c r="C44" s="1">
        <v>0.248112</v>
      </c>
      <c r="D44" s="1">
        <v>4074.32</v>
      </c>
      <c r="E44" s="1">
        <v>0.15229999999999999</v>
      </c>
      <c r="F44" s="1">
        <v>2.0952899999999999</v>
      </c>
      <c r="I44" s="3">
        <v>39600</v>
      </c>
    </row>
    <row r="45" spans="1:9" x14ac:dyDescent="0.2">
      <c r="A45" s="1" t="s">
        <v>85</v>
      </c>
      <c r="B45" s="1">
        <v>3.92991</v>
      </c>
      <c r="C45" s="1">
        <v>0.66337900000000005</v>
      </c>
      <c r="D45" s="1">
        <v>4075.15</v>
      </c>
      <c r="E45" s="1">
        <v>0.98699999999999999</v>
      </c>
      <c r="F45" s="1">
        <v>16.7623</v>
      </c>
      <c r="I45" s="3">
        <v>39630</v>
      </c>
    </row>
    <row r="46" spans="1:9" x14ac:dyDescent="0.2">
      <c r="A46" s="1" t="s">
        <v>86</v>
      </c>
      <c r="B46" s="1">
        <v>14.5305</v>
      </c>
      <c r="C46" s="1">
        <v>0.92547299999999999</v>
      </c>
      <c r="D46" s="1">
        <v>4075.6</v>
      </c>
      <c r="E46" s="1">
        <v>1.4331</v>
      </c>
      <c r="F46" s="1">
        <v>27.238800000000001</v>
      </c>
      <c r="I46" s="3">
        <v>39692</v>
      </c>
    </row>
    <row r="47" spans="1:9" x14ac:dyDescent="0.2">
      <c r="A47" s="1" t="s">
        <v>87</v>
      </c>
      <c r="B47" s="1">
        <v>3.92991</v>
      </c>
      <c r="C47" s="1">
        <v>0.66337900000000005</v>
      </c>
      <c r="D47" s="1">
        <v>4075.15</v>
      </c>
      <c r="E47" s="1">
        <v>0.98699999999999999</v>
      </c>
      <c r="F47" s="1">
        <v>16.7623</v>
      </c>
      <c r="I47" s="3">
        <v>39722</v>
      </c>
    </row>
    <row r="48" spans="1:9" x14ac:dyDescent="0.2">
      <c r="A48" s="1" t="s">
        <v>90</v>
      </c>
      <c r="B48" s="1">
        <v>3.3062299999999998</v>
      </c>
      <c r="C48" s="1">
        <v>0.69354700000000002</v>
      </c>
      <c r="D48" s="1">
        <v>4075.07</v>
      </c>
      <c r="E48" s="1">
        <v>0.90549999999999997</v>
      </c>
      <c r="F48" s="1">
        <v>12.5717</v>
      </c>
      <c r="I48" s="3">
        <v>39934</v>
      </c>
    </row>
    <row r="49" spans="1:9" x14ac:dyDescent="0.2">
      <c r="A49" s="1" t="s">
        <v>91</v>
      </c>
      <c r="B49" s="1">
        <v>3.8454799999999998</v>
      </c>
      <c r="C49" s="1">
        <v>0.69358600000000004</v>
      </c>
      <c r="D49" s="1">
        <v>4075.13</v>
      </c>
      <c r="E49" s="1">
        <v>0.96579999999999999</v>
      </c>
      <c r="F49" s="1">
        <v>14.667</v>
      </c>
      <c r="I49" s="3">
        <v>39995</v>
      </c>
    </row>
    <row r="50" spans="1:9" x14ac:dyDescent="0.2">
      <c r="A50" s="1" t="s">
        <v>92</v>
      </c>
      <c r="B50" s="1">
        <v>3.3062299999999998</v>
      </c>
      <c r="C50" s="1">
        <v>0.69354700000000002</v>
      </c>
      <c r="D50" s="1">
        <v>4075.07</v>
      </c>
      <c r="E50" s="1">
        <v>0.90549999999999997</v>
      </c>
      <c r="F50" s="1">
        <v>12.5717</v>
      </c>
      <c r="I50" s="3">
        <v>40026</v>
      </c>
    </row>
    <row r="51" spans="1:9" x14ac:dyDescent="0.2">
      <c r="A51" s="1" t="s">
        <v>93</v>
      </c>
      <c r="B51" s="1">
        <v>6.0356100000000001</v>
      </c>
      <c r="C51" s="1">
        <v>0.75174700000000005</v>
      </c>
      <c r="D51" s="1">
        <v>4075.27</v>
      </c>
      <c r="E51" s="1">
        <v>1.1089</v>
      </c>
      <c r="F51" s="1">
        <v>18.857600000000001</v>
      </c>
      <c r="I51" s="3">
        <v>40057</v>
      </c>
    </row>
    <row r="52" spans="1:9" x14ac:dyDescent="0.2">
      <c r="A52" s="1" t="s">
        <v>94</v>
      </c>
      <c r="B52" s="1">
        <v>23.274100000000001</v>
      </c>
      <c r="C52" s="1">
        <v>1.00081</v>
      </c>
      <c r="D52" s="1">
        <v>4075.83</v>
      </c>
      <c r="E52" s="1">
        <v>1.6667000000000001</v>
      </c>
      <c r="F52" s="1">
        <v>35.619900000000001</v>
      </c>
      <c r="I52" s="3">
        <v>40087</v>
      </c>
    </row>
    <row r="53" spans="1:9" x14ac:dyDescent="0.2">
      <c r="A53" s="1" t="s">
        <v>95</v>
      </c>
      <c r="B53" s="1">
        <v>6.0356100000000001</v>
      </c>
      <c r="C53" s="1">
        <v>0.75174700000000005</v>
      </c>
      <c r="D53" s="1">
        <v>4075.27</v>
      </c>
      <c r="E53" s="1">
        <v>1.1089</v>
      </c>
      <c r="F53" s="1">
        <v>18.857600000000001</v>
      </c>
      <c r="I53" s="3">
        <v>40299</v>
      </c>
    </row>
    <row r="54" spans="1:9" x14ac:dyDescent="0.2">
      <c r="A54" s="1" t="s">
        <v>96</v>
      </c>
      <c r="B54" s="1">
        <v>2.64</v>
      </c>
      <c r="C54" s="1">
        <v>0.67984599999999995</v>
      </c>
      <c r="D54" s="1">
        <v>4074.99</v>
      </c>
      <c r="E54" s="1">
        <v>0.82269999999999999</v>
      </c>
      <c r="F54" s="1">
        <v>10.4765</v>
      </c>
      <c r="I54" s="3">
        <v>40330</v>
      </c>
    </row>
    <row r="55" spans="1:9" x14ac:dyDescent="0.2">
      <c r="A55" s="1" t="s">
        <v>97</v>
      </c>
      <c r="B55" s="1">
        <v>23.274100000000001</v>
      </c>
      <c r="C55" s="1">
        <v>1.00081</v>
      </c>
      <c r="D55" s="1">
        <v>4075.83</v>
      </c>
      <c r="E55" s="1">
        <v>1.6667000000000001</v>
      </c>
      <c r="F55" s="1">
        <v>35.619900000000001</v>
      </c>
      <c r="I55" s="3">
        <v>40391</v>
      </c>
    </row>
    <row r="56" spans="1:9" x14ac:dyDescent="0.2">
      <c r="A56" s="1" t="s">
        <v>98</v>
      </c>
      <c r="B56" s="1">
        <v>2.64</v>
      </c>
      <c r="C56" s="1">
        <v>0.67984599999999995</v>
      </c>
      <c r="D56" s="1">
        <v>4074.99</v>
      </c>
      <c r="E56" s="1">
        <v>0.82269999999999999</v>
      </c>
      <c r="F56" s="1">
        <v>10.4765</v>
      </c>
      <c r="I56" s="3">
        <v>40452</v>
      </c>
    </row>
    <row r="57" spans="1:9" x14ac:dyDescent="0.2">
      <c r="A57" s="1" t="s">
        <v>99</v>
      </c>
      <c r="B57" s="1">
        <v>15.400399999999999</v>
      </c>
      <c r="C57" s="1">
        <v>0.89056500000000005</v>
      </c>
      <c r="D57" s="1">
        <v>4075.65</v>
      </c>
      <c r="E57" s="1">
        <v>1.4895</v>
      </c>
      <c r="F57" s="1">
        <v>31.429400000000001</v>
      </c>
      <c r="I57" s="3">
        <v>40483</v>
      </c>
    </row>
    <row r="58" spans="1:9" x14ac:dyDescent="0.2">
      <c r="A58" s="1" t="s">
        <v>100</v>
      </c>
      <c r="B58" s="1">
        <v>14.832800000000001</v>
      </c>
      <c r="C58" s="1">
        <v>0.69337400000000005</v>
      </c>
      <c r="D58" s="1">
        <v>4075.74</v>
      </c>
      <c r="E58" s="1">
        <v>1.5784</v>
      </c>
      <c r="F58" s="1">
        <v>64.953999999999994</v>
      </c>
      <c r="I58" s="3">
        <v>40513</v>
      </c>
    </row>
    <row r="59" spans="1:9" x14ac:dyDescent="0.2">
      <c r="A59" s="1" t="s">
        <v>102</v>
      </c>
      <c r="B59" s="1">
        <v>14.5305</v>
      </c>
      <c r="C59" s="1">
        <v>0.92547299999999999</v>
      </c>
      <c r="D59" s="1">
        <v>4075.6</v>
      </c>
      <c r="E59" s="1">
        <v>1.4331</v>
      </c>
      <c r="F59" s="1">
        <v>27.238800000000001</v>
      </c>
      <c r="I59" s="3">
        <v>40756</v>
      </c>
    </row>
    <row r="60" spans="1:9" x14ac:dyDescent="0.2">
      <c r="A60" s="1" t="s">
        <v>103</v>
      </c>
      <c r="B60" s="1">
        <v>4.1002499999999997E-2</v>
      </c>
      <c r="C60" s="1">
        <v>0.248112</v>
      </c>
      <c r="D60" s="1">
        <v>4074.32</v>
      </c>
      <c r="E60" s="1">
        <v>0.15229999999999999</v>
      </c>
      <c r="F60" s="1">
        <v>2.0952899999999999</v>
      </c>
      <c r="I60" s="3">
        <v>40817</v>
      </c>
    </row>
    <row r="61" spans="1:9" x14ac:dyDescent="0.2">
      <c r="A61" s="1" t="s">
        <v>104</v>
      </c>
      <c r="B61" s="1">
        <v>23.669899999999998</v>
      </c>
      <c r="C61" s="1">
        <v>0.98712500000000003</v>
      </c>
      <c r="D61" s="1">
        <v>4075.85</v>
      </c>
      <c r="E61" s="1">
        <v>1.6859999999999999</v>
      </c>
      <c r="F61" s="1">
        <v>37.715200000000003</v>
      </c>
      <c r="I61" s="3">
        <v>40848</v>
      </c>
    </row>
    <row r="62" spans="1:9" x14ac:dyDescent="0.2">
      <c r="A62" s="1" t="s">
        <v>105</v>
      </c>
      <c r="B62" s="1">
        <v>3.92991</v>
      </c>
      <c r="C62" s="1">
        <v>0.66337900000000005</v>
      </c>
      <c r="D62" s="1">
        <v>4075.15</v>
      </c>
      <c r="E62" s="1">
        <v>0.98699999999999999</v>
      </c>
      <c r="F62" s="1">
        <v>16.7623</v>
      </c>
      <c r="I62" s="3">
        <v>41000</v>
      </c>
    </row>
    <row r="63" spans="1:9" x14ac:dyDescent="0.2">
      <c r="A63" s="1" t="s">
        <v>106</v>
      </c>
      <c r="B63" s="1">
        <v>9.2314600000000002</v>
      </c>
      <c r="C63" s="1">
        <v>0.82320899999999997</v>
      </c>
      <c r="D63" s="1">
        <v>4075.42</v>
      </c>
      <c r="E63" s="1">
        <v>1.2532000000000001</v>
      </c>
      <c r="F63" s="1">
        <v>23.048200000000001</v>
      </c>
      <c r="I63" s="3">
        <v>41091</v>
      </c>
    </row>
    <row r="64" spans="1:9" x14ac:dyDescent="0.2">
      <c r="A64" s="1" t="s">
        <v>107</v>
      </c>
      <c r="B64" s="1">
        <v>9.2314600000000002</v>
      </c>
      <c r="C64" s="1">
        <v>0.82320899999999997</v>
      </c>
      <c r="D64" s="1">
        <v>4075.42</v>
      </c>
      <c r="E64" s="1">
        <v>1.2532000000000001</v>
      </c>
      <c r="F64" s="1">
        <v>23.048200000000001</v>
      </c>
      <c r="I64" s="3">
        <v>41153</v>
      </c>
    </row>
    <row r="65" spans="1:9" x14ac:dyDescent="0.2">
      <c r="A65" s="1" t="s">
        <v>109</v>
      </c>
      <c r="B65" s="1">
        <v>23.274100000000001</v>
      </c>
      <c r="C65" s="1">
        <v>1.00081</v>
      </c>
      <c r="D65" s="1">
        <v>4075.83</v>
      </c>
      <c r="E65" s="1">
        <v>1.6667000000000001</v>
      </c>
      <c r="F65" s="1">
        <v>35.619900000000001</v>
      </c>
      <c r="I65" s="3">
        <v>41214</v>
      </c>
    </row>
    <row r="66" spans="1:9" x14ac:dyDescent="0.2">
      <c r="A66" s="1" t="s">
        <v>110</v>
      </c>
      <c r="B66" s="1">
        <v>266.69499999999999</v>
      </c>
      <c r="C66" s="1">
        <v>1.7739499999999999</v>
      </c>
      <c r="D66" s="1">
        <v>4077.46</v>
      </c>
      <c r="E66" s="1">
        <v>3.3014999999999999</v>
      </c>
      <c r="F66" s="1">
        <v>98.478700000000003</v>
      </c>
      <c r="I66" s="3">
        <v>41244</v>
      </c>
    </row>
    <row r="67" spans="1:9" x14ac:dyDescent="0.2">
      <c r="A67" s="1" t="s">
        <v>6</v>
      </c>
      <c r="B67" s="1">
        <v>31.504000000000001</v>
      </c>
      <c r="C67" s="1">
        <v>0.95936600000000005</v>
      </c>
      <c r="D67" s="1">
        <v>4075.98</v>
      </c>
      <c r="E67" s="1">
        <v>1.8149</v>
      </c>
      <c r="F67" s="1">
        <v>54.477600000000002</v>
      </c>
      <c r="I67" s="3">
        <v>41334</v>
      </c>
    </row>
    <row r="68" spans="1:9" x14ac:dyDescent="0.2">
      <c r="A68" s="1" t="s">
        <v>111</v>
      </c>
      <c r="B68" s="1">
        <v>18.340399999999999</v>
      </c>
      <c r="C68" s="1">
        <v>0.93475699999999995</v>
      </c>
      <c r="D68" s="1">
        <v>4075.73</v>
      </c>
      <c r="E68" s="1">
        <v>1.5625</v>
      </c>
      <c r="F68" s="1">
        <v>33.524700000000003</v>
      </c>
      <c r="I68" s="3">
        <v>41365</v>
      </c>
    </row>
    <row r="69" spans="1:9" x14ac:dyDescent="0.2">
      <c r="A69" s="1" t="s">
        <v>112</v>
      </c>
      <c r="B69" s="1">
        <v>11.881600000000001</v>
      </c>
      <c r="C69" s="1">
        <v>0.88257699999999994</v>
      </c>
      <c r="D69" s="1">
        <v>4075.51</v>
      </c>
      <c r="E69" s="1">
        <v>1.3486</v>
      </c>
      <c r="F69" s="1">
        <v>25.1435</v>
      </c>
      <c r="I69" s="3">
        <v>41395</v>
      </c>
    </row>
    <row r="70" spans="1:9" x14ac:dyDescent="0.2">
      <c r="A70" s="1" t="s">
        <v>7</v>
      </c>
      <c r="B70" s="1">
        <v>6.0356100000000001</v>
      </c>
      <c r="C70" s="1">
        <v>0.75174700000000005</v>
      </c>
      <c r="D70" s="1">
        <v>4075.27</v>
      </c>
      <c r="E70" s="1">
        <v>1.1089</v>
      </c>
      <c r="F70" s="1">
        <v>18.857600000000001</v>
      </c>
      <c r="I70" s="3">
        <v>41426</v>
      </c>
    </row>
    <row r="71" spans="1:9" x14ac:dyDescent="0.2">
      <c r="A71" s="1" t="s">
        <v>8</v>
      </c>
      <c r="B71" s="1">
        <v>1.3235600000000001</v>
      </c>
      <c r="C71" s="1">
        <v>0.56284000000000001</v>
      </c>
      <c r="D71" s="1">
        <v>4074.82</v>
      </c>
      <c r="E71" s="1">
        <v>0.66139999999999999</v>
      </c>
      <c r="F71" s="1">
        <v>8.3811599999999995</v>
      </c>
      <c r="I71" s="3">
        <v>41456</v>
      </c>
    </row>
    <row r="72" spans="1:9" x14ac:dyDescent="0.2">
      <c r="A72" s="1" t="s">
        <v>9</v>
      </c>
      <c r="B72" s="1">
        <v>18.340399999999999</v>
      </c>
      <c r="C72" s="1">
        <v>0.93475699999999995</v>
      </c>
      <c r="D72" s="1">
        <v>4075.73</v>
      </c>
      <c r="E72" s="1">
        <v>1.5625</v>
      </c>
      <c r="F72" s="1">
        <v>33.524700000000003</v>
      </c>
      <c r="I72" s="3">
        <v>41548</v>
      </c>
    </row>
    <row r="73" spans="1:9" x14ac:dyDescent="0.2">
      <c r="A73" s="1" t="s">
        <v>10</v>
      </c>
      <c r="B73" s="1">
        <v>16.322800000000001</v>
      </c>
      <c r="C73" s="1">
        <v>0.88624599999999998</v>
      </c>
      <c r="D73" s="1">
        <v>4075.69</v>
      </c>
      <c r="E73" s="1">
        <v>1.5298</v>
      </c>
      <c r="F73" s="1">
        <v>44.001100000000001</v>
      </c>
      <c r="I73" s="3">
        <v>41609</v>
      </c>
    </row>
    <row r="74" spans="1:9" x14ac:dyDescent="0.2">
      <c r="A74" s="1" t="s">
        <v>113</v>
      </c>
      <c r="B74" s="1">
        <v>6.0356100000000001</v>
      </c>
      <c r="C74" s="1">
        <v>0.75174700000000005</v>
      </c>
      <c r="D74" s="1">
        <v>4075.27</v>
      </c>
      <c r="E74" s="1">
        <v>1.1089</v>
      </c>
      <c r="F74" s="1">
        <v>18.857600000000001</v>
      </c>
      <c r="I74" s="3">
        <v>41699</v>
      </c>
    </row>
    <row r="75" spans="1:9" x14ac:dyDescent="0.2">
      <c r="A75" s="1" t="s">
        <v>114</v>
      </c>
      <c r="B75" s="1">
        <v>15.400399999999999</v>
      </c>
      <c r="C75" s="1">
        <v>0.89056500000000005</v>
      </c>
      <c r="D75" s="1">
        <v>4075.65</v>
      </c>
      <c r="E75" s="1">
        <v>1.4895</v>
      </c>
      <c r="F75" s="1">
        <v>31.429400000000001</v>
      </c>
      <c r="I75" s="3">
        <v>41730</v>
      </c>
    </row>
    <row r="76" spans="1:9" x14ac:dyDescent="0.2">
      <c r="A76" s="1" t="s">
        <v>115</v>
      </c>
      <c r="B76" s="1">
        <v>3.3062299999999998</v>
      </c>
      <c r="C76" s="1">
        <v>0.69354700000000002</v>
      </c>
      <c r="D76" s="1">
        <v>4075.07</v>
      </c>
      <c r="E76" s="1">
        <v>0.90549999999999997</v>
      </c>
      <c r="F76" s="1">
        <v>12.5717</v>
      </c>
      <c r="I76" s="3">
        <v>41791</v>
      </c>
    </row>
    <row r="77" spans="1:9" x14ac:dyDescent="0.2">
      <c r="A77" s="1" t="s">
        <v>116</v>
      </c>
      <c r="B77" s="1">
        <v>2.64</v>
      </c>
      <c r="C77" s="1">
        <v>0.67984599999999995</v>
      </c>
      <c r="D77" s="1">
        <v>4074.99</v>
      </c>
      <c r="E77" s="1">
        <v>0.82269999999999999</v>
      </c>
      <c r="F77" s="1">
        <v>10.4765</v>
      </c>
      <c r="I77" s="3">
        <v>41852</v>
      </c>
    </row>
    <row r="78" spans="1:9" x14ac:dyDescent="0.2">
      <c r="A78" s="1" t="s">
        <v>117</v>
      </c>
      <c r="B78" s="1">
        <v>2.64</v>
      </c>
      <c r="C78" s="1">
        <v>0.67984599999999995</v>
      </c>
      <c r="D78" s="1">
        <v>4074.99</v>
      </c>
      <c r="E78" s="1">
        <v>0.82269999999999999</v>
      </c>
      <c r="F78" s="1">
        <v>10.4765</v>
      </c>
      <c r="I78" s="3">
        <v>41883</v>
      </c>
    </row>
    <row r="79" spans="1:9" x14ac:dyDescent="0.2">
      <c r="A79" s="1" t="s">
        <v>11</v>
      </c>
      <c r="B79" s="1">
        <v>3.3062299999999998</v>
      </c>
      <c r="C79" s="1">
        <v>0.69354700000000002</v>
      </c>
      <c r="D79" s="1">
        <v>4075.07</v>
      </c>
      <c r="E79" s="1">
        <v>0.90549999999999997</v>
      </c>
      <c r="F79" s="1">
        <v>12.5717</v>
      </c>
      <c r="I79" s="3">
        <v>41913</v>
      </c>
    </row>
    <row r="80" spans="1:9" x14ac:dyDescent="0.2">
      <c r="A80" s="1" t="s">
        <v>12</v>
      </c>
      <c r="B80" s="1">
        <v>10.5586</v>
      </c>
      <c r="C80" s="1">
        <v>0.78062699999999996</v>
      </c>
      <c r="D80" s="1">
        <v>4075.51</v>
      </c>
      <c r="E80" s="1">
        <v>1.3431999999999999</v>
      </c>
      <c r="F80" s="1">
        <v>41.905799999999999</v>
      </c>
      <c r="I80" s="3">
        <v>41944</v>
      </c>
    </row>
    <row r="81" spans="1:9" x14ac:dyDescent="0.2">
      <c r="A81" s="1" t="s">
        <v>13</v>
      </c>
      <c r="B81" s="1">
        <v>3.8454799999999998</v>
      </c>
      <c r="C81" s="1">
        <v>0.69358600000000004</v>
      </c>
      <c r="D81" s="1">
        <v>4075.13</v>
      </c>
      <c r="E81" s="1">
        <v>0.96579999999999999</v>
      </c>
      <c r="F81" s="1">
        <v>14.667</v>
      </c>
      <c r="I81" s="3">
        <v>42064</v>
      </c>
    </row>
    <row r="82" spans="1:9" x14ac:dyDescent="0.2">
      <c r="A82" s="1" t="s">
        <v>119</v>
      </c>
      <c r="B82" s="1">
        <v>21.9602</v>
      </c>
      <c r="C82" s="1">
        <v>0.89066599999999996</v>
      </c>
      <c r="D82" s="1">
        <v>4075.87</v>
      </c>
      <c r="E82" s="1">
        <v>1.7038</v>
      </c>
      <c r="F82" s="1">
        <v>46.096400000000003</v>
      </c>
      <c r="I82" s="3">
        <v>42095</v>
      </c>
    </row>
    <row r="83" spans="1:9" x14ac:dyDescent="0.2">
      <c r="A83" s="1" t="s">
        <v>14</v>
      </c>
      <c r="B83" s="1">
        <v>3.92991</v>
      </c>
      <c r="C83" s="1">
        <v>0.66337900000000005</v>
      </c>
      <c r="D83" s="1">
        <v>4075.15</v>
      </c>
      <c r="E83" s="1">
        <v>0.98699999999999999</v>
      </c>
      <c r="F83" s="1">
        <v>16.7623</v>
      </c>
      <c r="I83" s="3">
        <v>42125</v>
      </c>
    </row>
    <row r="84" spans="1:9" x14ac:dyDescent="0.2">
      <c r="A84" s="1" t="s">
        <v>120</v>
      </c>
      <c r="B84" s="1">
        <v>10.5586</v>
      </c>
      <c r="C84" s="1">
        <v>0.78062699999999996</v>
      </c>
      <c r="D84" s="1">
        <v>4075.51</v>
      </c>
      <c r="E84" s="1">
        <v>1.3431999999999999</v>
      </c>
      <c r="F84" s="1">
        <v>41.905799999999999</v>
      </c>
      <c r="I84" s="3">
        <v>42156</v>
      </c>
    </row>
    <row r="85" spans="1:9" x14ac:dyDescent="0.2">
      <c r="A85" s="1" t="s">
        <v>15</v>
      </c>
      <c r="B85" s="1">
        <v>3.3062299999999998</v>
      </c>
      <c r="C85" s="1">
        <v>0.69354700000000002</v>
      </c>
      <c r="D85" s="1">
        <v>4075.07</v>
      </c>
      <c r="E85" s="1">
        <v>0.90549999999999997</v>
      </c>
      <c r="F85" s="1">
        <v>12.5717</v>
      </c>
      <c r="I85" s="3">
        <v>42186</v>
      </c>
    </row>
    <row r="86" spans="1:9" x14ac:dyDescent="0.2">
      <c r="A86" s="1" t="s">
        <v>16</v>
      </c>
      <c r="B86" s="1">
        <v>11.881600000000001</v>
      </c>
      <c r="C86" s="1">
        <v>0.88257699999999994</v>
      </c>
      <c r="D86" s="1">
        <v>4075.51</v>
      </c>
      <c r="E86" s="1">
        <v>1.3486</v>
      </c>
      <c r="F86" s="1">
        <v>25.1435</v>
      </c>
      <c r="I86" s="3">
        <v>42217</v>
      </c>
    </row>
    <row r="87" spans="1:9" x14ac:dyDescent="0.2">
      <c r="A87" s="1" t="s">
        <v>17</v>
      </c>
      <c r="B87" s="1">
        <v>0.69779999999999998</v>
      </c>
      <c r="C87" s="1">
        <v>0.48657400000000001</v>
      </c>
      <c r="D87" s="1">
        <v>4074.7</v>
      </c>
      <c r="E87" s="1">
        <v>0.53659999999999997</v>
      </c>
      <c r="F87" s="1">
        <v>6.2858700000000001</v>
      </c>
      <c r="I87" s="3">
        <v>42248</v>
      </c>
    </row>
    <row r="88" spans="1:9" x14ac:dyDescent="0.2">
      <c r="A88" s="1" t="s">
        <v>18</v>
      </c>
      <c r="B88" s="1">
        <v>7.6867099999999997</v>
      </c>
      <c r="C88" s="1">
        <v>0.79434199999999999</v>
      </c>
      <c r="D88" s="1">
        <v>4075.35</v>
      </c>
      <c r="E88" s="1">
        <v>1.1842999999999999</v>
      </c>
      <c r="F88" s="1">
        <v>20.9529</v>
      </c>
      <c r="I88" s="1" t="s">
        <v>179</v>
      </c>
    </row>
    <row r="89" spans="1:9" x14ac:dyDescent="0.2">
      <c r="A89" s="1" t="s">
        <v>19</v>
      </c>
      <c r="B89" s="1">
        <v>226.364</v>
      </c>
      <c r="C89" s="1">
        <v>1.7370399999999999</v>
      </c>
      <c r="D89" s="1">
        <v>4077.25</v>
      </c>
      <c r="E89" s="1">
        <v>3.0849000000000002</v>
      </c>
      <c r="F89" s="1">
        <v>88.002200000000002</v>
      </c>
      <c r="I89" s="3">
        <v>42461</v>
      </c>
    </row>
    <row r="90" spans="1:9" x14ac:dyDescent="0.2">
      <c r="A90" s="1" t="s">
        <v>20</v>
      </c>
      <c r="B90" s="1">
        <v>7.6867099999999997</v>
      </c>
      <c r="C90" s="1">
        <v>0.79434199999999999</v>
      </c>
      <c r="D90" s="1">
        <v>4075.35</v>
      </c>
      <c r="E90" s="1">
        <v>1.1842999999999999</v>
      </c>
      <c r="F90" s="1">
        <v>20.9529</v>
      </c>
      <c r="I90" s="3">
        <v>42491</v>
      </c>
    </row>
    <row r="91" spans="1:9" x14ac:dyDescent="0.2">
      <c r="A91" s="1" t="s">
        <v>122</v>
      </c>
      <c r="B91" s="1">
        <v>0.46113700000000002</v>
      </c>
      <c r="C91" s="1">
        <v>0.48112899999999997</v>
      </c>
      <c r="D91" s="1">
        <v>4074.61</v>
      </c>
      <c r="E91" s="1">
        <v>0.44729999999999998</v>
      </c>
      <c r="F91" s="1">
        <v>4.1905799999999997</v>
      </c>
      <c r="I91" s="3">
        <v>42522</v>
      </c>
    </row>
    <row r="92" spans="1:9" x14ac:dyDescent="0.2">
      <c r="A92" s="1" t="s">
        <v>21</v>
      </c>
      <c r="B92" s="1">
        <v>4.1002499999999997E-2</v>
      </c>
      <c r="C92" s="1">
        <v>0.248112</v>
      </c>
      <c r="D92" s="1">
        <v>4074.32</v>
      </c>
      <c r="E92" s="1">
        <v>0.15229999999999999</v>
      </c>
      <c r="F92" s="1">
        <v>2.0952899999999999</v>
      </c>
      <c r="I92" s="3">
        <v>42552</v>
      </c>
    </row>
    <row r="93" spans="1:9" x14ac:dyDescent="0.2">
      <c r="A93" s="1" t="s">
        <v>123</v>
      </c>
      <c r="B93" s="1">
        <v>2.64</v>
      </c>
      <c r="C93" s="1">
        <v>0.67984599999999995</v>
      </c>
      <c r="D93" s="1">
        <v>4074.99</v>
      </c>
      <c r="E93" s="1">
        <v>0.82269999999999999</v>
      </c>
      <c r="F93" s="1">
        <v>10.4765</v>
      </c>
      <c r="I93" s="3">
        <v>42583</v>
      </c>
    </row>
    <row r="94" spans="1:9" x14ac:dyDescent="0.2">
      <c r="A94" s="1" t="s">
        <v>22</v>
      </c>
      <c r="B94" s="1">
        <v>0.46113700000000002</v>
      </c>
      <c r="C94" s="1">
        <v>0.48112899999999997</v>
      </c>
      <c r="D94" s="1">
        <v>4074.61</v>
      </c>
      <c r="E94" s="1">
        <v>0.44729999999999998</v>
      </c>
      <c r="F94" s="1">
        <v>4.1905799999999997</v>
      </c>
      <c r="I94" s="3">
        <v>42614</v>
      </c>
    </row>
    <row r="95" spans="1:9" x14ac:dyDescent="0.2">
      <c r="A95" s="1" t="s">
        <v>124</v>
      </c>
      <c r="B95" s="1">
        <v>7.6867099999999997</v>
      </c>
      <c r="C95" s="1">
        <v>0.79434199999999999</v>
      </c>
      <c r="D95" s="1">
        <v>4075.35</v>
      </c>
      <c r="E95" s="1">
        <v>1.1842999999999999</v>
      </c>
      <c r="F95" s="1">
        <v>20.9529</v>
      </c>
      <c r="I95" s="1" t="s">
        <v>180</v>
      </c>
    </row>
    <row r="96" spans="1:9" x14ac:dyDescent="0.2">
      <c r="A96" s="1" t="s">
        <v>126</v>
      </c>
      <c r="B96" s="1">
        <v>18.6708</v>
      </c>
      <c r="C96" s="1">
        <v>0.77343700000000004</v>
      </c>
      <c r="D96" s="1">
        <v>4075.8</v>
      </c>
      <c r="E96" s="1">
        <v>1.6356999999999999</v>
      </c>
      <c r="F96" s="1">
        <v>58.668100000000003</v>
      </c>
      <c r="I96" s="3">
        <v>42856</v>
      </c>
    </row>
    <row r="97" spans="1:9" x14ac:dyDescent="0.2">
      <c r="A97" s="1" t="s">
        <v>23</v>
      </c>
      <c r="B97" s="1">
        <v>3.8454799999999998</v>
      </c>
      <c r="C97" s="1">
        <v>0.69358600000000004</v>
      </c>
      <c r="D97" s="1">
        <v>4075.13</v>
      </c>
      <c r="E97" s="1">
        <v>0.96579999999999999</v>
      </c>
      <c r="F97" s="1">
        <v>14.667</v>
      </c>
      <c r="I97" s="3">
        <v>42979</v>
      </c>
    </row>
    <row r="98" spans="1:9" x14ac:dyDescent="0.2">
      <c r="A98" s="1" t="s">
        <v>24</v>
      </c>
      <c r="B98" s="1">
        <v>10.5586</v>
      </c>
      <c r="C98" s="1">
        <v>0.78062699999999996</v>
      </c>
      <c r="D98" s="1">
        <v>4075.51</v>
      </c>
      <c r="E98" s="1">
        <v>1.3431999999999999</v>
      </c>
      <c r="F98" s="1">
        <v>41.905799999999999</v>
      </c>
      <c r="I98" s="1" t="s">
        <v>181</v>
      </c>
    </row>
    <row r="99" spans="1:9" x14ac:dyDescent="0.2">
      <c r="A99" s="1" t="s">
        <v>26</v>
      </c>
      <c r="B99" s="1">
        <v>21.9602</v>
      </c>
      <c r="C99" s="1">
        <v>0.89066599999999996</v>
      </c>
      <c r="D99" s="1">
        <v>4075.87</v>
      </c>
      <c r="E99" s="1">
        <v>1.7038</v>
      </c>
      <c r="F99" s="1">
        <v>46.096400000000003</v>
      </c>
      <c r="I99" s="3">
        <v>43191</v>
      </c>
    </row>
    <row r="100" spans="1:9" x14ac:dyDescent="0.2">
      <c r="A100" s="1" t="s">
        <v>127</v>
      </c>
      <c r="B100" s="1">
        <v>1.3235600000000001</v>
      </c>
      <c r="C100" s="1">
        <v>0.56284000000000001</v>
      </c>
      <c r="D100" s="1">
        <v>4074.82</v>
      </c>
      <c r="E100" s="1">
        <v>0.66139999999999999</v>
      </c>
      <c r="F100" s="1">
        <v>8.3811599999999995</v>
      </c>
      <c r="I100" s="3">
        <v>43252</v>
      </c>
    </row>
    <row r="101" spans="1:9" x14ac:dyDescent="0.2">
      <c r="A101" s="1" t="s">
        <v>28</v>
      </c>
      <c r="B101" s="1">
        <v>18.6708</v>
      </c>
      <c r="C101" s="1">
        <v>0.77343700000000004</v>
      </c>
      <c r="D101" s="1">
        <v>4075.8</v>
      </c>
      <c r="E101" s="1">
        <v>1.6356999999999999</v>
      </c>
      <c r="F101" s="1">
        <v>58.668100000000003</v>
      </c>
      <c r="I101" s="3">
        <v>43282</v>
      </c>
    </row>
    <row r="102" spans="1:9" x14ac:dyDescent="0.2">
      <c r="A102" s="1" t="s">
        <v>128</v>
      </c>
      <c r="B102" s="1">
        <v>6.0356100000000001</v>
      </c>
      <c r="C102" s="1">
        <v>0.75174700000000005</v>
      </c>
      <c r="D102" s="1">
        <v>4075.27</v>
      </c>
      <c r="E102" s="1">
        <v>1.1089</v>
      </c>
      <c r="F102" s="1">
        <v>18.857600000000001</v>
      </c>
      <c r="I102" s="1" t="s">
        <v>182</v>
      </c>
    </row>
    <row r="103" spans="1:9" x14ac:dyDescent="0.2">
      <c r="A103" s="1" t="s">
        <v>131</v>
      </c>
      <c r="B103" s="1">
        <v>14.5305</v>
      </c>
      <c r="C103" s="1">
        <v>0.92547299999999999</v>
      </c>
      <c r="D103" s="1">
        <v>4075.6</v>
      </c>
      <c r="E103" s="1">
        <v>1.4331</v>
      </c>
      <c r="F103" s="1">
        <v>27.238800000000001</v>
      </c>
      <c r="I103" s="3">
        <v>43525</v>
      </c>
    </row>
    <row r="104" spans="1:9" x14ac:dyDescent="0.2">
      <c r="A104" s="1" t="s">
        <v>31</v>
      </c>
      <c r="B104" s="1">
        <v>1.3235600000000001</v>
      </c>
      <c r="C104" s="1">
        <v>0.56284000000000001</v>
      </c>
      <c r="D104" s="1">
        <v>4074.82</v>
      </c>
      <c r="E104" s="1">
        <v>0.66139999999999999</v>
      </c>
      <c r="F104" s="1">
        <v>8.3811599999999995</v>
      </c>
      <c r="I104" s="3">
        <v>43556</v>
      </c>
    </row>
    <row r="105" spans="1:9" x14ac:dyDescent="0.2">
      <c r="A105" s="1" t="s">
        <v>132</v>
      </c>
      <c r="B105" s="1">
        <v>10.5586</v>
      </c>
      <c r="C105" s="1">
        <v>0.78062699999999996</v>
      </c>
      <c r="D105" s="1">
        <v>4075.51</v>
      </c>
      <c r="E105" s="1">
        <v>1.3431999999999999</v>
      </c>
      <c r="F105" s="1">
        <v>41.905799999999999</v>
      </c>
      <c r="I105" s="3">
        <v>43586</v>
      </c>
    </row>
    <row r="106" spans="1:9" x14ac:dyDescent="0.2">
      <c r="A106" s="1" t="s">
        <v>133</v>
      </c>
      <c r="B106" s="1">
        <v>7.6867099999999997</v>
      </c>
      <c r="C106" s="1">
        <v>0.79434199999999999</v>
      </c>
      <c r="D106" s="1">
        <v>4075.35</v>
      </c>
      <c r="E106" s="1">
        <v>1.1842999999999999</v>
      </c>
      <c r="F106" s="1">
        <v>20.9529</v>
      </c>
      <c r="I106" s="3">
        <v>43678</v>
      </c>
    </row>
    <row r="107" spans="1:9" x14ac:dyDescent="0.2">
      <c r="A107" s="1" t="s">
        <v>134</v>
      </c>
      <c r="B107" s="1">
        <v>4.1002499999999997E-2</v>
      </c>
      <c r="C107" s="1">
        <v>0.248112</v>
      </c>
      <c r="D107" s="1">
        <v>4074.32</v>
      </c>
      <c r="E107" s="1">
        <v>0.15229999999999999</v>
      </c>
      <c r="F107" s="1">
        <v>2.0952899999999999</v>
      </c>
      <c r="I107" s="3">
        <v>43709</v>
      </c>
    </row>
    <row r="108" spans="1:9" x14ac:dyDescent="0.2">
      <c r="A108" s="1" t="s">
        <v>35</v>
      </c>
      <c r="B108" s="1">
        <v>13.684200000000001</v>
      </c>
      <c r="C108" s="1">
        <v>0.71130400000000005</v>
      </c>
      <c r="D108" s="1">
        <v>4075.68</v>
      </c>
      <c r="E108" s="1">
        <v>1.5173000000000001</v>
      </c>
      <c r="F108" s="1">
        <v>62.858699999999999</v>
      </c>
      <c r="I108" s="3">
        <v>43983</v>
      </c>
    </row>
    <row r="112" spans="1:9" x14ac:dyDescent="0.2">
      <c r="A112" s="1" t="s">
        <v>175</v>
      </c>
      <c r="B112" s="1">
        <f>AVERAGE(B2:B108)</f>
        <v>45.186819177570086</v>
      </c>
      <c r="C112" s="1">
        <f t="shared" ref="C112:F112" si="22">AVERAGE(C2:C108)</f>
        <v>0.79353032710280325</v>
      </c>
      <c r="D112" s="1">
        <f t="shared" si="22"/>
        <v>4075.4109345794395</v>
      </c>
      <c r="E112" s="1">
        <f t="shared" si="22"/>
        <v>1.2471476635514021</v>
      </c>
      <c r="F112" s="1">
        <f t="shared" si="22"/>
        <v>27.415011962616806</v>
      </c>
    </row>
    <row r="113" spans="1:6" x14ac:dyDescent="0.2">
      <c r="A113" s="1" t="s">
        <v>176</v>
      </c>
      <c r="B113" s="1">
        <f>MIN(B2:B108)</f>
        <v>4.1002499999999997E-2</v>
      </c>
      <c r="C113" s="1">
        <f t="shared" ref="C113:F113" si="23">MIN(C2:C108)</f>
        <v>0.248112</v>
      </c>
      <c r="D113" s="1">
        <f t="shared" si="23"/>
        <v>4074.32</v>
      </c>
      <c r="E113" s="1">
        <f t="shared" si="23"/>
        <v>0.15229999999999999</v>
      </c>
      <c r="F113" s="1">
        <f t="shared" si="23"/>
        <v>2.0952899999999999</v>
      </c>
    </row>
    <row r="114" spans="1:6" x14ac:dyDescent="0.2">
      <c r="A114" s="1" t="s">
        <v>177</v>
      </c>
      <c r="B114" s="1">
        <f>MAX(B2:B108)</f>
        <v>3053.03</v>
      </c>
      <c r="C114" s="1">
        <f t="shared" ref="C114:F114" si="24">MAX(C2:C108)</f>
        <v>3.5235599999999998</v>
      </c>
      <c r="D114" s="1">
        <f t="shared" si="24"/>
        <v>4082.13</v>
      </c>
      <c r="E114" s="1">
        <f t="shared" si="24"/>
        <v>7.9714</v>
      </c>
      <c r="F114" s="1">
        <f t="shared" si="24"/>
        <v>203.24299999999999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2D833-4CA1-4342-9E95-05F78D50E302}">
  <dimension ref="A1:P83"/>
  <sheetViews>
    <sheetView topLeftCell="A40" workbookViewId="0">
      <selection activeCell="B83" sqref="B83:F83"/>
    </sheetView>
  </sheetViews>
  <sheetFormatPr defaultRowHeight="14.25" x14ac:dyDescent="0.2"/>
  <cols>
    <col min="1" max="1" width="19.5" style="1" customWidth="1"/>
    <col min="2" max="8" width="9" style="1"/>
    <col min="9" max="9" width="11.25" style="1" customWidth="1"/>
    <col min="10" max="16384" width="9" style="1"/>
  </cols>
  <sheetData>
    <row r="1" spans="1:16" x14ac:dyDescent="0.2">
      <c r="A1" s="1" t="s">
        <v>136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178</v>
      </c>
      <c r="K1" s="1" t="s">
        <v>183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</row>
    <row r="2" spans="1:16" x14ac:dyDescent="0.2">
      <c r="A2" s="1" t="s">
        <v>37</v>
      </c>
      <c r="B2" s="1">
        <v>2.29915</v>
      </c>
      <c r="C2" s="1">
        <v>0.94887600000000005</v>
      </c>
      <c r="D2" s="1">
        <v>3870.38</v>
      </c>
      <c r="E2" s="1">
        <v>0.33899299999999999</v>
      </c>
      <c r="F2" s="1">
        <v>10.0623</v>
      </c>
      <c r="I2" s="3">
        <v>36342</v>
      </c>
      <c r="K2" s="1">
        <v>1999</v>
      </c>
      <c r="L2" s="1">
        <f>AVERAGE(B2)</f>
        <v>2.29915</v>
      </c>
      <c r="M2" s="1">
        <f t="shared" ref="M2:P3" si="0">AVERAGE(C2)</f>
        <v>0.94887600000000005</v>
      </c>
      <c r="N2" s="1">
        <f t="shared" si="0"/>
        <v>3870.38</v>
      </c>
      <c r="O2" s="1">
        <f t="shared" si="0"/>
        <v>0.33899299999999999</v>
      </c>
      <c r="P2" s="1">
        <f t="shared" si="0"/>
        <v>10.0623</v>
      </c>
    </row>
    <row r="3" spans="1:16" x14ac:dyDescent="0.2">
      <c r="A3" s="1" t="s">
        <v>137</v>
      </c>
      <c r="B3" s="1">
        <v>5.7402799999999997E-2</v>
      </c>
      <c r="C3" s="1">
        <v>0.153561</v>
      </c>
      <c r="D3" s="1">
        <v>3870.15</v>
      </c>
      <c r="E3" s="1">
        <v>0.107891</v>
      </c>
      <c r="F3" s="1">
        <v>26.832799999999999</v>
      </c>
      <c r="I3" s="3">
        <v>36739</v>
      </c>
      <c r="K3" s="1">
        <v>2000</v>
      </c>
      <c r="L3" s="1">
        <f>AVERAGE(B3)</f>
        <v>5.7402799999999997E-2</v>
      </c>
      <c r="M3" s="1">
        <f t="shared" si="0"/>
        <v>0.153561</v>
      </c>
      <c r="N3" s="1">
        <f t="shared" si="0"/>
        <v>3870.15</v>
      </c>
      <c r="O3" s="1">
        <f t="shared" si="0"/>
        <v>0.107891</v>
      </c>
      <c r="P3" s="1">
        <f t="shared" si="0"/>
        <v>26.832799999999999</v>
      </c>
    </row>
    <row r="4" spans="1:16" x14ac:dyDescent="0.2">
      <c r="A4" s="1" t="s">
        <v>45</v>
      </c>
      <c r="B4" s="1">
        <v>4.9226600000000002E-2</v>
      </c>
      <c r="C4" s="1">
        <v>0.31638699999999997</v>
      </c>
      <c r="D4" s="1">
        <v>3870.11</v>
      </c>
      <c r="E4" s="1">
        <v>6.55752E-2</v>
      </c>
      <c r="F4" s="1">
        <v>3.3540999999999999</v>
      </c>
      <c r="I4" s="3">
        <v>37043</v>
      </c>
      <c r="K4" s="1">
        <v>2001</v>
      </c>
      <c r="L4" s="1">
        <f>AVERAGE(B4:B5)</f>
        <v>4.9226600000000002E-2</v>
      </c>
      <c r="M4" s="1">
        <f t="shared" ref="M4:P4" si="1">AVERAGE(C4:C5)</f>
        <v>0.31638699999999997</v>
      </c>
      <c r="N4" s="1">
        <f t="shared" si="1"/>
        <v>3870.11</v>
      </c>
      <c r="O4" s="1">
        <f t="shared" si="1"/>
        <v>6.55752E-2</v>
      </c>
      <c r="P4" s="1">
        <f t="shared" si="1"/>
        <v>3.3540999999999999</v>
      </c>
    </row>
    <row r="5" spans="1:16" x14ac:dyDescent="0.2">
      <c r="A5" s="1" t="s">
        <v>48</v>
      </c>
      <c r="B5" s="1">
        <v>4.9226600000000002E-2</v>
      </c>
      <c r="C5" s="1">
        <v>0.31638699999999997</v>
      </c>
      <c r="D5" s="1">
        <v>3870.11</v>
      </c>
      <c r="E5" s="1">
        <v>6.55752E-2</v>
      </c>
      <c r="F5" s="1">
        <v>3.3540999999999999</v>
      </c>
      <c r="I5" s="3">
        <v>37165</v>
      </c>
      <c r="K5" s="1">
        <v>2002</v>
      </c>
      <c r="L5" s="1">
        <f>AVERAGE(B6:B7)</f>
        <v>1.6940518</v>
      </c>
      <c r="M5" s="1">
        <f t="shared" ref="M5:P5" si="2">AVERAGE(C6:C7)</f>
        <v>0.60747099999999998</v>
      </c>
      <c r="N5" s="1">
        <f t="shared" si="2"/>
        <v>3870.3</v>
      </c>
      <c r="O5" s="1">
        <f t="shared" si="2"/>
        <v>0.25380074999999996</v>
      </c>
      <c r="P5" s="1">
        <f t="shared" si="2"/>
        <v>10.0623</v>
      </c>
    </row>
    <row r="6" spans="1:16" x14ac:dyDescent="0.2">
      <c r="A6" s="1" t="s">
        <v>51</v>
      </c>
      <c r="B6" s="1">
        <v>4.4553599999999999E-2</v>
      </c>
      <c r="C6" s="1">
        <v>0.23200499999999999</v>
      </c>
      <c r="D6" s="1">
        <v>3870.12</v>
      </c>
      <c r="E6" s="1">
        <v>7.5150499999999995E-2</v>
      </c>
      <c r="F6" s="1">
        <v>6.7081999999999997</v>
      </c>
      <c r="I6" s="3">
        <v>37408</v>
      </c>
      <c r="K6" s="1">
        <v>2003</v>
      </c>
      <c r="L6" s="1">
        <f>AVERAGE(B8)</f>
        <v>4.4553599999999999E-2</v>
      </c>
      <c r="M6" s="1">
        <f t="shared" ref="M6:P6" si="3">AVERAGE(C8)</f>
        <v>0.23200499999999999</v>
      </c>
      <c r="N6" s="1">
        <f t="shared" si="3"/>
        <v>3870.12</v>
      </c>
      <c r="O6" s="1">
        <f t="shared" si="3"/>
        <v>7.5150499999999995E-2</v>
      </c>
      <c r="P6" s="1">
        <f t="shared" si="3"/>
        <v>6.7081999999999997</v>
      </c>
    </row>
    <row r="7" spans="1:16" x14ac:dyDescent="0.2">
      <c r="A7" s="1" t="s">
        <v>52</v>
      </c>
      <c r="B7" s="1">
        <v>3.34355</v>
      </c>
      <c r="C7" s="1">
        <v>0.98293699999999995</v>
      </c>
      <c r="D7" s="1">
        <v>3870.48</v>
      </c>
      <c r="E7" s="1">
        <v>0.43245099999999997</v>
      </c>
      <c r="F7" s="1">
        <v>13.416399999999999</v>
      </c>
      <c r="I7" s="3">
        <v>37469</v>
      </c>
      <c r="K7" s="1">
        <v>2004</v>
      </c>
      <c r="L7" s="1">
        <f>AVERAGE(B9:B10)</f>
        <v>278.62001800000002</v>
      </c>
      <c r="M7" s="1">
        <f t="shared" ref="M7:P7" si="4">AVERAGE(C9:C10)</f>
        <v>2.3698604999999997</v>
      </c>
      <c r="N7" s="1">
        <f t="shared" si="4"/>
        <v>3871.84</v>
      </c>
      <c r="O7" s="1">
        <f t="shared" si="4"/>
        <v>1.7916715000000001</v>
      </c>
      <c r="P7" s="1">
        <f t="shared" si="4"/>
        <v>36.895099999999999</v>
      </c>
    </row>
    <row r="8" spans="1:16" x14ac:dyDescent="0.2">
      <c r="A8" s="1" t="s">
        <v>58</v>
      </c>
      <c r="B8" s="1">
        <v>4.4553599999999999E-2</v>
      </c>
      <c r="C8" s="1">
        <v>0.23200499999999999</v>
      </c>
      <c r="D8" s="1">
        <v>3870.12</v>
      </c>
      <c r="E8" s="1">
        <v>7.5150499999999995E-2</v>
      </c>
      <c r="F8" s="1">
        <v>6.7081999999999997</v>
      </c>
      <c r="I8" s="3">
        <v>37803</v>
      </c>
      <c r="K8" s="1">
        <v>2005</v>
      </c>
      <c r="L8" s="1">
        <f>AVERAGE(B11:B14)</f>
        <v>1.4352882999999999</v>
      </c>
      <c r="M8" s="1">
        <f t="shared" ref="M8:P8" si="5">AVERAGE(C11:C14)</f>
        <v>0.64114674999999999</v>
      </c>
      <c r="N8" s="1">
        <f t="shared" si="5"/>
        <v>3870.2700000000004</v>
      </c>
      <c r="O8" s="1">
        <f t="shared" si="5"/>
        <v>0.2256486</v>
      </c>
      <c r="P8" s="1">
        <f t="shared" si="5"/>
        <v>7.5467249999999995</v>
      </c>
    </row>
    <row r="9" spans="1:16" x14ac:dyDescent="0.2">
      <c r="A9" s="1" t="s">
        <v>63</v>
      </c>
      <c r="B9" s="1">
        <v>0.48703600000000002</v>
      </c>
      <c r="C9" s="1">
        <v>0.41126099999999999</v>
      </c>
      <c r="D9" s="1">
        <v>3870.25</v>
      </c>
      <c r="E9" s="1">
        <v>0.20102300000000001</v>
      </c>
      <c r="F9" s="1">
        <v>20.124600000000001</v>
      </c>
      <c r="I9" s="3">
        <v>38261</v>
      </c>
      <c r="K9" s="1">
        <v>2006</v>
      </c>
      <c r="L9" s="1">
        <f>AVERAGE(B15:B19)</f>
        <v>0.7428717199999999</v>
      </c>
      <c r="M9" s="1">
        <f t="shared" ref="M9:P9" si="6">AVERAGE(C15:C19)</f>
        <v>0.49827860000000002</v>
      </c>
      <c r="N9" s="1">
        <f t="shared" si="6"/>
        <v>3870.2440000000001</v>
      </c>
      <c r="O9" s="1">
        <f t="shared" si="6"/>
        <v>0.19808843999999998</v>
      </c>
      <c r="P9" s="1">
        <f t="shared" si="6"/>
        <v>14.087220000000002</v>
      </c>
    </row>
    <row r="10" spans="1:16" x14ac:dyDescent="0.2">
      <c r="A10" s="1" t="s">
        <v>64</v>
      </c>
      <c r="B10" s="1">
        <v>556.75300000000004</v>
      </c>
      <c r="C10" s="1">
        <v>4.3284599999999998</v>
      </c>
      <c r="D10" s="1">
        <v>3873.43</v>
      </c>
      <c r="E10" s="1">
        <v>3.38232</v>
      </c>
      <c r="F10" s="1">
        <v>53.665599999999998</v>
      </c>
      <c r="I10" s="3">
        <v>38292</v>
      </c>
      <c r="K10" s="1">
        <v>2007</v>
      </c>
      <c r="L10" s="1">
        <f>AVERAGE(B20:B21)</f>
        <v>0.3049558</v>
      </c>
      <c r="M10" s="1">
        <f t="shared" ref="M10:P10" si="7">AVERAGE(C20:C21)</f>
        <v>0.32999800000000001</v>
      </c>
      <c r="N10" s="1">
        <f t="shared" si="7"/>
        <v>3870.1750000000002</v>
      </c>
      <c r="O10" s="1">
        <f t="shared" si="7"/>
        <v>0.1289526</v>
      </c>
      <c r="P10" s="1">
        <f t="shared" si="7"/>
        <v>18.44755</v>
      </c>
    </row>
    <row r="11" spans="1:16" x14ac:dyDescent="0.2">
      <c r="A11" s="1" t="s">
        <v>66</v>
      </c>
      <c r="B11" s="1">
        <v>3.34355</v>
      </c>
      <c r="C11" s="1">
        <v>0.98293699999999995</v>
      </c>
      <c r="D11" s="1">
        <v>3870.48</v>
      </c>
      <c r="E11" s="1">
        <v>0.43245099999999997</v>
      </c>
      <c r="F11" s="1">
        <v>13.416399999999999</v>
      </c>
      <c r="I11" s="3">
        <v>38504</v>
      </c>
      <c r="K11" s="1">
        <v>2008</v>
      </c>
      <c r="L11" s="1">
        <f>AVERAGE(B22:B23)</f>
        <v>4.6890100000000004E-2</v>
      </c>
      <c r="M11" s="1">
        <f t="shared" ref="M11:P11" si="8">AVERAGE(C22:C23)</f>
        <v>0.274196</v>
      </c>
      <c r="N11" s="1">
        <f t="shared" si="8"/>
        <v>3870.1149999999998</v>
      </c>
      <c r="O11" s="1">
        <f t="shared" si="8"/>
        <v>7.0362850000000005E-2</v>
      </c>
      <c r="P11" s="1">
        <f t="shared" si="8"/>
        <v>5.0311500000000002</v>
      </c>
    </row>
    <row r="12" spans="1:16" x14ac:dyDescent="0.2">
      <c r="A12" s="1" t="s">
        <v>138</v>
      </c>
      <c r="B12" s="1">
        <v>4.9226600000000002E-2</v>
      </c>
      <c r="C12" s="1">
        <v>0.31638699999999997</v>
      </c>
      <c r="D12" s="1">
        <v>3870.11</v>
      </c>
      <c r="E12" s="1">
        <v>6.55752E-2</v>
      </c>
      <c r="F12" s="1">
        <v>3.3540999999999999</v>
      </c>
      <c r="I12" s="3">
        <v>38534</v>
      </c>
      <c r="K12" s="1">
        <v>2009</v>
      </c>
      <c r="L12" s="1">
        <f>AVERAGE(B24:B28)</f>
        <v>0.53966776000000005</v>
      </c>
      <c r="M12" s="1">
        <f t="shared" ref="M12:P12" si="9">AVERAGE(C24:C28)</f>
        <v>0.44918060000000004</v>
      </c>
      <c r="N12" s="1">
        <f t="shared" si="9"/>
        <v>3870.1800000000003</v>
      </c>
      <c r="O12" s="1">
        <f t="shared" si="9"/>
        <v>0.13668958</v>
      </c>
      <c r="P12" s="1">
        <f t="shared" si="9"/>
        <v>9.3914799999999996</v>
      </c>
    </row>
    <row r="13" spans="1:16" x14ac:dyDescent="0.2">
      <c r="A13" s="1" t="s">
        <v>67</v>
      </c>
      <c r="B13" s="1">
        <v>4.9226600000000002E-2</v>
      </c>
      <c r="C13" s="1">
        <v>0.31638699999999997</v>
      </c>
      <c r="D13" s="1">
        <v>3870.11</v>
      </c>
      <c r="E13" s="1">
        <v>6.55752E-2</v>
      </c>
      <c r="F13" s="1">
        <v>3.3540999999999999</v>
      </c>
      <c r="I13" s="3">
        <v>38565</v>
      </c>
      <c r="K13" s="1">
        <v>2010</v>
      </c>
      <c r="L13" s="1">
        <f>AVERAGE(B29:B31)</f>
        <v>187.99866</v>
      </c>
      <c r="M13" s="1">
        <f t="shared" ref="M13:P13" si="10">AVERAGE(C29:C31)</f>
        <v>1.8047686666666667</v>
      </c>
      <c r="N13" s="1">
        <f t="shared" si="10"/>
        <v>3871.2266666666669</v>
      </c>
      <c r="O13" s="1">
        <f t="shared" si="10"/>
        <v>1.183325</v>
      </c>
      <c r="P13" s="1">
        <f t="shared" si="10"/>
        <v>34.659033333333333</v>
      </c>
    </row>
    <row r="14" spans="1:16" x14ac:dyDescent="0.2">
      <c r="A14" s="1" t="s">
        <v>68</v>
      </c>
      <c r="B14" s="1">
        <v>2.29915</v>
      </c>
      <c r="C14" s="1">
        <v>0.94887600000000005</v>
      </c>
      <c r="D14" s="1">
        <v>3870.38</v>
      </c>
      <c r="E14" s="1">
        <v>0.33899299999999999</v>
      </c>
      <c r="F14" s="1">
        <v>10.0623</v>
      </c>
      <c r="I14" s="3">
        <v>38596</v>
      </c>
      <c r="K14" s="1">
        <v>2011</v>
      </c>
      <c r="L14" s="1">
        <f>AVERAGE(B32:B35)</f>
        <v>140.23331429999999</v>
      </c>
      <c r="M14" s="1">
        <f t="shared" ref="M14:P14" si="11">AVERAGE(C32:C35)</f>
        <v>1.4944315000000001</v>
      </c>
      <c r="N14" s="1">
        <f t="shared" si="11"/>
        <v>3870.9799999999996</v>
      </c>
      <c r="O14" s="1">
        <f t="shared" si="11"/>
        <v>0.93664849999999988</v>
      </c>
      <c r="P14" s="1">
        <f t="shared" si="11"/>
        <v>17.609024999999999</v>
      </c>
    </row>
    <row r="15" spans="1:16" x14ac:dyDescent="0.2">
      <c r="A15" s="1" t="s">
        <v>139</v>
      </c>
      <c r="B15" s="1">
        <v>0.48703600000000002</v>
      </c>
      <c r="C15" s="1">
        <v>0.41126099999999999</v>
      </c>
      <c r="D15" s="1">
        <v>3870.25</v>
      </c>
      <c r="E15" s="1">
        <v>0.20102300000000001</v>
      </c>
      <c r="F15" s="1">
        <v>20.124600000000001</v>
      </c>
      <c r="I15" s="3">
        <v>38808</v>
      </c>
      <c r="K15" s="1">
        <v>2012</v>
      </c>
      <c r="L15" s="1">
        <f>AVERAGE(B36:B39)</f>
        <v>1.04414915</v>
      </c>
      <c r="M15" s="1">
        <f t="shared" ref="M15:P15" si="12">AVERAGE(C36:C39)</f>
        <v>0.52663499999999996</v>
      </c>
      <c r="N15" s="1">
        <f t="shared" si="12"/>
        <v>3870.2624999999998</v>
      </c>
      <c r="O15" s="1">
        <f t="shared" si="12"/>
        <v>0.21642054999999999</v>
      </c>
      <c r="P15" s="1">
        <f t="shared" si="12"/>
        <v>12.577874999999999</v>
      </c>
    </row>
    <row r="16" spans="1:16" x14ac:dyDescent="0.2">
      <c r="A16" s="1" t="s">
        <v>70</v>
      </c>
      <c r="B16" s="1">
        <v>4.9226600000000002E-2</v>
      </c>
      <c r="C16" s="1">
        <v>0.31638699999999997</v>
      </c>
      <c r="D16" s="1">
        <v>3870.11</v>
      </c>
      <c r="E16" s="1">
        <v>6.55752E-2</v>
      </c>
      <c r="F16" s="1">
        <v>3.3540999999999999</v>
      </c>
      <c r="I16" s="3">
        <v>38869</v>
      </c>
      <c r="K16" s="1">
        <v>2013</v>
      </c>
      <c r="L16" s="1">
        <f>AVERAGE(B40:B43)</f>
        <v>0.44487749999999998</v>
      </c>
      <c r="M16" s="1">
        <f t="shared" ref="M16:P16" si="13">AVERAGE(C40:C43)</f>
        <v>0.32346350000000001</v>
      </c>
      <c r="N16" s="1">
        <f t="shared" si="13"/>
        <v>3870.2249999999995</v>
      </c>
      <c r="O16" s="1">
        <f t="shared" si="13"/>
        <v>0.17985849999999998</v>
      </c>
      <c r="P16" s="1">
        <f t="shared" si="13"/>
        <v>31.863950000000003</v>
      </c>
    </row>
    <row r="17" spans="1:16" x14ac:dyDescent="0.2">
      <c r="A17" s="1" t="s">
        <v>71</v>
      </c>
      <c r="B17" s="1">
        <v>0.39190999999999998</v>
      </c>
      <c r="C17" s="1">
        <v>0.40360800000000002</v>
      </c>
      <c r="D17" s="1">
        <v>3870.23</v>
      </c>
      <c r="E17" s="1">
        <v>0.18382799999999999</v>
      </c>
      <c r="F17" s="1">
        <v>16.770499999999998</v>
      </c>
      <c r="I17" s="3">
        <v>38899</v>
      </c>
      <c r="K17" s="1">
        <v>2014</v>
      </c>
      <c r="L17" s="1">
        <f>AVERAGE(B44:B48)</f>
        <v>112.96750132</v>
      </c>
      <c r="M17" s="1">
        <f t="shared" ref="M17:P17" si="14">AVERAGE(C44:C48)</f>
        <v>1.2229185999999999</v>
      </c>
      <c r="N17" s="1">
        <f t="shared" si="14"/>
        <v>3870.8119999999994</v>
      </c>
      <c r="O17" s="1">
        <f t="shared" si="14"/>
        <v>0.76656464000000002</v>
      </c>
      <c r="P17" s="1">
        <f t="shared" si="14"/>
        <v>28.845259999999996</v>
      </c>
    </row>
    <row r="18" spans="1:16" x14ac:dyDescent="0.2">
      <c r="A18" s="1" t="s">
        <v>72</v>
      </c>
      <c r="B18" s="1">
        <v>2.29915</v>
      </c>
      <c r="C18" s="1">
        <v>0.94887600000000005</v>
      </c>
      <c r="D18" s="1">
        <v>3870.38</v>
      </c>
      <c r="E18" s="1">
        <v>0.33899299999999999</v>
      </c>
      <c r="F18" s="1">
        <v>10.0623</v>
      </c>
      <c r="I18" s="3">
        <v>38930</v>
      </c>
      <c r="K18" s="1">
        <v>2015</v>
      </c>
      <c r="L18" s="1">
        <f>AVERAGE(B49:B56)</f>
        <v>71.279043175000012</v>
      </c>
      <c r="M18" s="1">
        <f t="shared" ref="M18:P18" si="15">AVERAGE(C49:C56)</f>
        <v>1.0284159999999998</v>
      </c>
      <c r="N18" s="1">
        <f t="shared" si="15"/>
        <v>3870.6312499999999</v>
      </c>
      <c r="O18" s="1">
        <f t="shared" si="15"/>
        <v>0.58698852500000009</v>
      </c>
      <c r="P18" s="1">
        <f t="shared" si="15"/>
        <v>22.220912500000001</v>
      </c>
    </row>
    <row r="19" spans="1:16" x14ac:dyDescent="0.2">
      <c r="A19" s="1" t="s">
        <v>74</v>
      </c>
      <c r="B19" s="1">
        <v>0.48703600000000002</v>
      </c>
      <c r="C19" s="1">
        <v>0.41126099999999999</v>
      </c>
      <c r="D19" s="1">
        <v>3870.25</v>
      </c>
      <c r="E19" s="1">
        <v>0.20102300000000001</v>
      </c>
      <c r="F19" s="1">
        <v>20.124600000000001</v>
      </c>
      <c r="I19" s="3">
        <v>38991</v>
      </c>
      <c r="K19" s="1">
        <v>2016</v>
      </c>
      <c r="L19" s="1">
        <f>AVERAGE(B57:B59)</f>
        <v>0.31299386666666668</v>
      </c>
      <c r="M19" s="1">
        <f t="shared" ref="M19:P19" si="16">AVERAGE(C57:C59)</f>
        <v>0.32110466666666665</v>
      </c>
      <c r="N19" s="1">
        <f t="shared" si="16"/>
        <v>3870.186666666667</v>
      </c>
      <c r="O19" s="1">
        <f t="shared" si="16"/>
        <v>0.14176406666666666</v>
      </c>
      <c r="P19" s="1">
        <f t="shared" si="16"/>
        <v>22.360666666666663</v>
      </c>
    </row>
    <row r="20" spans="1:16" x14ac:dyDescent="0.2">
      <c r="A20" s="1" t="s">
        <v>77</v>
      </c>
      <c r="B20" s="1">
        <v>0.56068499999999999</v>
      </c>
      <c r="C20" s="1">
        <v>0.343609</v>
      </c>
      <c r="D20" s="1">
        <v>3870.24</v>
      </c>
      <c r="E20" s="1">
        <v>0.19233</v>
      </c>
      <c r="F20" s="1">
        <v>33.540999999999997</v>
      </c>
      <c r="I20" s="3">
        <v>39234</v>
      </c>
      <c r="K20" s="1">
        <v>2017</v>
      </c>
      <c r="L20" s="1">
        <f>AVERAGE(B60:B63)</f>
        <v>120.79267239999999</v>
      </c>
      <c r="M20" s="1">
        <f t="shared" ref="M20:P20" si="17">AVERAGE(C60:C63)</f>
        <v>1.6770989999999999</v>
      </c>
      <c r="N20" s="1">
        <f t="shared" si="17"/>
        <v>3871.0325000000003</v>
      </c>
      <c r="O20" s="1">
        <f t="shared" si="17"/>
        <v>0.98657687500000002</v>
      </c>
      <c r="P20" s="1">
        <f t="shared" si="17"/>
        <v>26.832799999999999</v>
      </c>
    </row>
    <row r="21" spans="1:16" x14ac:dyDescent="0.2">
      <c r="A21" s="1" t="s">
        <v>79</v>
      </c>
      <c r="B21" s="1">
        <v>4.9226600000000002E-2</v>
      </c>
      <c r="C21" s="1">
        <v>0.31638699999999997</v>
      </c>
      <c r="D21" s="1">
        <v>3870.11</v>
      </c>
      <c r="E21" s="1">
        <v>6.55752E-2</v>
      </c>
      <c r="F21" s="1">
        <v>3.3540999999999999</v>
      </c>
      <c r="I21" s="3">
        <v>39295</v>
      </c>
      <c r="K21" s="1">
        <v>2018</v>
      </c>
      <c r="L21" s="1">
        <f>AVERAGE(B64:B69)</f>
        <v>1.1115147666666667</v>
      </c>
      <c r="M21" s="1">
        <f t="shared" ref="M21:P21" si="18">AVERAGE(C64:C69)</f>
        <v>0.56456233333333339</v>
      </c>
      <c r="N21" s="1">
        <f t="shared" si="18"/>
        <v>3870.2649999999999</v>
      </c>
      <c r="O21" s="1">
        <f t="shared" si="18"/>
        <v>0.2210647</v>
      </c>
      <c r="P21" s="1">
        <f t="shared" si="18"/>
        <v>16.211483333333334</v>
      </c>
    </row>
    <row r="22" spans="1:16" x14ac:dyDescent="0.2">
      <c r="A22" s="1" t="s">
        <v>84</v>
      </c>
      <c r="B22" s="1">
        <v>4.9226600000000002E-2</v>
      </c>
      <c r="C22" s="1">
        <v>0.31638699999999997</v>
      </c>
      <c r="D22" s="1">
        <v>3870.11</v>
      </c>
      <c r="E22" s="1">
        <v>6.55752E-2</v>
      </c>
      <c r="F22" s="1">
        <v>3.3540999999999999</v>
      </c>
      <c r="I22" s="3">
        <v>39600</v>
      </c>
      <c r="K22" s="1">
        <v>2019</v>
      </c>
      <c r="L22" s="1">
        <f>AVERAGE(B70:B74)</f>
        <v>9.2543303999999988</v>
      </c>
      <c r="M22" s="1">
        <f t="shared" ref="M22:P22" si="19">AVERAGE(C70:C74)</f>
        <v>0.88417159999999995</v>
      </c>
      <c r="N22" s="1">
        <f t="shared" si="19"/>
        <v>3870.4059999999999</v>
      </c>
      <c r="O22" s="1">
        <f t="shared" si="19"/>
        <v>0.36381619999999998</v>
      </c>
      <c r="P22" s="1">
        <f t="shared" si="19"/>
        <v>22.137060000000002</v>
      </c>
    </row>
    <row r="23" spans="1:16" x14ac:dyDescent="0.2">
      <c r="A23" s="1" t="s">
        <v>85</v>
      </c>
      <c r="B23" s="1">
        <v>4.4553599999999999E-2</v>
      </c>
      <c r="C23" s="1">
        <v>0.23200499999999999</v>
      </c>
      <c r="D23" s="1">
        <v>3870.12</v>
      </c>
      <c r="E23" s="1">
        <v>7.5150499999999995E-2</v>
      </c>
      <c r="F23" s="1">
        <v>6.7081999999999997</v>
      </c>
      <c r="I23" s="3">
        <v>39630</v>
      </c>
      <c r="K23" s="1">
        <v>2020</v>
      </c>
      <c r="L23" s="1">
        <f>AVERAGE(B75:B77)</f>
        <v>0.96146733333333323</v>
      </c>
      <c r="M23" s="1">
        <f t="shared" ref="M23:P23" si="20">AVERAGE(C75:C77)</f>
        <v>0.56148066666666663</v>
      </c>
      <c r="N23" s="1">
        <f t="shared" si="20"/>
        <v>3870.2566666666667</v>
      </c>
      <c r="O23" s="1">
        <f t="shared" si="20"/>
        <v>0.21484466666666668</v>
      </c>
      <c r="P23" s="1">
        <f t="shared" si="20"/>
        <v>21.242633333333334</v>
      </c>
    </row>
    <row r="24" spans="1:16" x14ac:dyDescent="0.2">
      <c r="A24" s="1" t="s">
        <v>90</v>
      </c>
      <c r="B24" s="1">
        <v>4.9226600000000002E-2</v>
      </c>
      <c r="C24" s="1">
        <v>0.31638699999999997</v>
      </c>
      <c r="D24" s="1">
        <v>3870.11</v>
      </c>
      <c r="E24" s="1">
        <v>6.55752E-2</v>
      </c>
      <c r="F24" s="1">
        <v>3.3540999999999999</v>
      </c>
      <c r="I24" s="3">
        <v>39934</v>
      </c>
    </row>
    <row r="25" spans="1:16" x14ac:dyDescent="0.2">
      <c r="A25" s="1" t="s">
        <v>91</v>
      </c>
      <c r="B25" s="1">
        <v>4.9226600000000002E-2</v>
      </c>
      <c r="C25" s="1">
        <v>0.31638699999999997</v>
      </c>
      <c r="D25" s="1">
        <v>3870.11</v>
      </c>
      <c r="E25" s="1">
        <v>6.55752E-2</v>
      </c>
      <c r="F25" s="1">
        <v>3.3540999999999999</v>
      </c>
      <c r="I25" s="3">
        <v>39995</v>
      </c>
    </row>
    <row r="26" spans="1:16" x14ac:dyDescent="0.2">
      <c r="A26" s="1" t="s">
        <v>92</v>
      </c>
      <c r="B26" s="1">
        <v>4.4553599999999999E-2</v>
      </c>
      <c r="C26" s="1">
        <v>0.23200499999999999</v>
      </c>
      <c r="D26" s="1">
        <v>3870.12</v>
      </c>
      <c r="E26" s="1">
        <v>7.5150499999999995E-2</v>
      </c>
      <c r="F26" s="1">
        <v>6.7081999999999997</v>
      </c>
      <c r="I26" s="3">
        <v>40026</v>
      </c>
    </row>
    <row r="27" spans="1:16" x14ac:dyDescent="0.2">
      <c r="A27" s="1" t="s">
        <v>93</v>
      </c>
      <c r="B27" s="1">
        <v>2.29915</v>
      </c>
      <c r="C27" s="1">
        <v>0.94887600000000005</v>
      </c>
      <c r="D27" s="1">
        <v>3870.38</v>
      </c>
      <c r="E27" s="1">
        <v>0.33899299999999999</v>
      </c>
      <c r="F27" s="1">
        <v>10.0623</v>
      </c>
      <c r="I27" s="3">
        <v>40057</v>
      </c>
    </row>
    <row r="28" spans="1:16" x14ac:dyDescent="0.2">
      <c r="A28" s="1" t="s">
        <v>94</v>
      </c>
      <c r="B28" s="1">
        <v>0.25618200000000002</v>
      </c>
      <c r="C28" s="1">
        <v>0.43224800000000002</v>
      </c>
      <c r="D28" s="1">
        <v>3870.18</v>
      </c>
      <c r="E28" s="1">
        <v>0.138154</v>
      </c>
      <c r="F28" s="1">
        <v>23.4787</v>
      </c>
      <c r="I28" s="3">
        <v>40087</v>
      </c>
    </row>
    <row r="29" spans="1:16" x14ac:dyDescent="0.2">
      <c r="A29" s="1" t="s">
        <v>97</v>
      </c>
      <c r="B29" s="1">
        <v>0.32906999999999997</v>
      </c>
      <c r="C29" s="1">
        <v>0.30331799999999998</v>
      </c>
      <c r="D29" s="1">
        <v>3870.21</v>
      </c>
      <c r="E29" s="1">
        <v>0.16738700000000001</v>
      </c>
      <c r="F29" s="1">
        <v>30.186900000000001</v>
      </c>
      <c r="I29" s="3">
        <v>40391</v>
      </c>
    </row>
    <row r="30" spans="1:16" x14ac:dyDescent="0.2">
      <c r="A30" s="1" t="s">
        <v>98</v>
      </c>
      <c r="B30" s="1">
        <v>0.39190999999999998</v>
      </c>
      <c r="C30" s="1">
        <v>0.40360800000000002</v>
      </c>
      <c r="D30" s="1">
        <v>3870.23</v>
      </c>
      <c r="E30" s="1">
        <v>0.18382799999999999</v>
      </c>
      <c r="F30" s="1">
        <v>16.770499999999998</v>
      </c>
      <c r="I30" s="3">
        <v>40452</v>
      </c>
    </row>
    <row r="31" spans="1:16" x14ac:dyDescent="0.2">
      <c r="A31" s="1" t="s">
        <v>100</v>
      </c>
      <c r="B31" s="1">
        <v>563.27499999999998</v>
      </c>
      <c r="C31" s="1">
        <v>4.7073799999999997</v>
      </c>
      <c r="D31" s="1">
        <v>3873.24</v>
      </c>
      <c r="E31" s="1">
        <v>3.19876</v>
      </c>
      <c r="F31" s="1">
        <v>57.0197</v>
      </c>
      <c r="I31" s="3">
        <v>40513</v>
      </c>
    </row>
    <row r="32" spans="1:16" x14ac:dyDescent="0.2">
      <c r="A32" s="1" t="s">
        <v>140</v>
      </c>
      <c r="B32" s="1">
        <v>2.29915</v>
      </c>
      <c r="C32" s="1">
        <v>0.94887600000000005</v>
      </c>
      <c r="D32" s="1">
        <v>3870.38</v>
      </c>
      <c r="E32" s="1">
        <v>0.33899299999999999</v>
      </c>
      <c r="F32" s="1">
        <v>10.0623</v>
      </c>
      <c r="I32" s="3">
        <v>40695</v>
      </c>
    </row>
    <row r="33" spans="1:9" x14ac:dyDescent="0.2">
      <c r="A33" s="1" t="s">
        <v>102</v>
      </c>
      <c r="B33" s="1">
        <v>558.54499999999996</v>
      </c>
      <c r="C33" s="1">
        <v>4.5648400000000002</v>
      </c>
      <c r="D33" s="1">
        <v>3873.3</v>
      </c>
      <c r="E33" s="1">
        <v>3.2572999999999999</v>
      </c>
      <c r="F33" s="1">
        <v>46.9574</v>
      </c>
      <c r="I33" s="3">
        <v>40756</v>
      </c>
    </row>
    <row r="34" spans="1:9" x14ac:dyDescent="0.2">
      <c r="A34" s="1" t="s">
        <v>141</v>
      </c>
      <c r="B34" s="1">
        <v>4.4553599999999999E-2</v>
      </c>
      <c r="C34" s="1">
        <v>0.23200499999999999</v>
      </c>
      <c r="D34" s="1">
        <v>3870.12</v>
      </c>
      <c r="E34" s="1">
        <v>7.5150499999999995E-2</v>
      </c>
      <c r="F34" s="1">
        <v>6.7081999999999997</v>
      </c>
      <c r="I34" s="3">
        <v>40787</v>
      </c>
    </row>
    <row r="35" spans="1:9" x14ac:dyDescent="0.2">
      <c r="A35" s="1" t="s">
        <v>103</v>
      </c>
      <c r="B35" s="1">
        <v>4.4553599999999999E-2</v>
      </c>
      <c r="C35" s="1">
        <v>0.23200499999999999</v>
      </c>
      <c r="D35" s="1">
        <v>3870.12</v>
      </c>
      <c r="E35" s="1">
        <v>7.5150499999999995E-2</v>
      </c>
      <c r="F35" s="1">
        <v>6.7081999999999997</v>
      </c>
      <c r="I35" s="3">
        <v>40817</v>
      </c>
    </row>
    <row r="36" spans="1:9" x14ac:dyDescent="0.2">
      <c r="A36" s="1" t="s">
        <v>105</v>
      </c>
      <c r="B36" s="1">
        <v>4.9226600000000002E-2</v>
      </c>
      <c r="C36" s="1">
        <v>0.31638699999999997</v>
      </c>
      <c r="D36" s="1">
        <v>3870.11</v>
      </c>
      <c r="E36" s="1">
        <v>6.55752E-2</v>
      </c>
      <c r="F36" s="1">
        <v>3.3540999999999999</v>
      </c>
      <c r="I36" s="3">
        <v>41000</v>
      </c>
    </row>
    <row r="37" spans="1:9" x14ac:dyDescent="0.2">
      <c r="A37" s="1" t="s">
        <v>106</v>
      </c>
      <c r="B37" s="1">
        <v>0.39190999999999998</v>
      </c>
      <c r="C37" s="1">
        <v>0.40360800000000002</v>
      </c>
      <c r="D37" s="1">
        <v>3870.23</v>
      </c>
      <c r="E37" s="1">
        <v>0.18382799999999999</v>
      </c>
      <c r="F37" s="1">
        <v>16.770499999999998</v>
      </c>
      <c r="I37" s="3">
        <v>41091</v>
      </c>
    </row>
    <row r="38" spans="1:9" x14ac:dyDescent="0.2">
      <c r="A38" s="1" t="s">
        <v>142</v>
      </c>
      <c r="B38" s="1">
        <v>3.34355</v>
      </c>
      <c r="C38" s="1">
        <v>0.98293699999999995</v>
      </c>
      <c r="D38" s="1">
        <v>3870.48</v>
      </c>
      <c r="E38" s="1">
        <v>0.43245099999999997</v>
      </c>
      <c r="F38" s="1">
        <v>13.416399999999999</v>
      </c>
      <c r="I38" s="3">
        <v>41122</v>
      </c>
    </row>
    <row r="39" spans="1:9" x14ac:dyDescent="0.2">
      <c r="A39" s="1" t="s">
        <v>107</v>
      </c>
      <c r="B39" s="1">
        <v>0.39190999999999998</v>
      </c>
      <c r="C39" s="1">
        <v>0.40360800000000002</v>
      </c>
      <c r="D39" s="1">
        <v>3870.23</v>
      </c>
      <c r="E39" s="1">
        <v>0.18382799999999999</v>
      </c>
      <c r="F39" s="1">
        <v>16.770499999999998</v>
      </c>
      <c r="I39" s="3">
        <v>41153</v>
      </c>
    </row>
    <row r="40" spans="1:9" x14ac:dyDescent="0.2">
      <c r="A40" s="1" t="s">
        <v>111</v>
      </c>
      <c r="B40" s="1">
        <v>0.56068499999999999</v>
      </c>
      <c r="C40" s="1">
        <v>0.343609</v>
      </c>
      <c r="D40" s="1">
        <v>3870.24</v>
      </c>
      <c r="E40" s="1">
        <v>0.19233</v>
      </c>
      <c r="F40" s="1">
        <v>33.540999999999997</v>
      </c>
      <c r="I40" s="3">
        <v>41365</v>
      </c>
    </row>
    <row r="41" spans="1:9" x14ac:dyDescent="0.2">
      <c r="A41" s="1" t="s">
        <v>112</v>
      </c>
      <c r="B41" s="1">
        <v>0.56068499999999999</v>
      </c>
      <c r="C41" s="1">
        <v>0.343609</v>
      </c>
      <c r="D41" s="1">
        <v>3870.24</v>
      </c>
      <c r="E41" s="1">
        <v>0.19233</v>
      </c>
      <c r="F41" s="1">
        <v>33.540999999999997</v>
      </c>
      <c r="I41" s="3">
        <v>41395</v>
      </c>
    </row>
    <row r="42" spans="1:9" x14ac:dyDescent="0.2">
      <c r="A42" s="1" t="s">
        <v>7</v>
      </c>
      <c r="B42" s="1">
        <v>0.32906999999999997</v>
      </c>
      <c r="C42" s="1">
        <v>0.30331799999999998</v>
      </c>
      <c r="D42" s="1">
        <v>3870.21</v>
      </c>
      <c r="E42" s="1">
        <v>0.16738700000000001</v>
      </c>
      <c r="F42" s="1">
        <v>30.186900000000001</v>
      </c>
      <c r="I42" s="3">
        <v>41426</v>
      </c>
    </row>
    <row r="43" spans="1:9" x14ac:dyDescent="0.2">
      <c r="A43" s="1" t="s">
        <v>8</v>
      </c>
      <c r="B43" s="1">
        <v>0.32906999999999997</v>
      </c>
      <c r="C43" s="1">
        <v>0.30331799999999998</v>
      </c>
      <c r="D43" s="1">
        <v>3870.21</v>
      </c>
      <c r="E43" s="1">
        <v>0.16738700000000001</v>
      </c>
      <c r="F43" s="1">
        <v>30.186900000000001</v>
      </c>
      <c r="I43" s="3">
        <v>41456</v>
      </c>
    </row>
    <row r="44" spans="1:9" x14ac:dyDescent="0.2">
      <c r="A44" s="1" t="s">
        <v>113</v>
      </c>
      <c r="B44" s="1">
        <v>0.39190999999999998</v>
      </c>
      <c r="C44" s="1">
        <v>0.40360800000000002</v>
      </c>
      <c r="D44" s="1">
        <v>3870.23</v>
      </c>
      <c r="E44" s="1">
        <v>0.18382799999999999</v>
      </c>
      <c r="F44" s="1">
        <v>16.770499999999998</v>
      </c>
      <c r="I44" s="3">
        <v>41699</v>
      </c>
    </row>
    <row r="45" spans="1:9" x14ac:dyDescent="0.2">
      <c r="A45" s="1" t="s">
        <v>115</v>
      </c>
      <c r="B45" s="1">
        <v>4.9226600000000002E-2</v>
      </c>
      <c r="C45" s="1">
        <v>0.31638699999999997</v>
      </c>
      <c r="D45" s="1">
        <v>3870.11</v>
      </c>
      <c r="E45" s="1">
        <v>6.55752E-2</v>
      </c>
      <c r="F45" s="1">
        <v>3.3540999999999999</v>
      </c>
      <c r="I45" s="3">
        <v>41791</v>
      </c>
    </row>
    <row r="46" spans="1:9" x14ac:dyDescent="0.2">
      <c r="A46" s="1" t="s">
        <v>144</v>
      </c>
      <c r="B46" s="1">
        <v>0.56068499999999999</v>
      </c>
      <c r="C46" s="1">
        <v>0.343609</v>
      </c>
      <c r="D46" s="1">
        <v>3870.24</v>
      </c>
      <c r="E46" s="1">
        <v>0.19233</v>
      </c>
      <c r="F46" s="1">
        <v>33.540999999999997</v>
      </c>
      <c r="I46" s="3">
        <v>41821</v>
      </c>
    </row>
    <row r="47" spans="1:9" x14ac:dyDescent="0.2">
      <c r="A47" s="1" t="s">
        <v>116</v>
      </c>
      <c r="B47" s="1">
        <v>0.56068499999999999</v>
      </c>
      <c r="C47" s="1">
        <v>0.343609</v>
      </c>
      <c r="D47" s="1">
        <v>3870.24</v>
      </c>
      <c r="E47" s="1">
        <v>0.19233</v>
      </c>
      <c r="F47" s="1">
        <v>33.540999999999997</v>
      </c>
      <c r="I47" s="3">
        <v>41852</v>
      </c>
    </row>
    <row r="48" spans="1:9" x14ac:dyDescent="0.2">
      <c r="A48" s="1" t="s">
        <v>12</v>
      </c>
      <c r="B48" s="1">
        <v>563.27499999999998</v>
      </c>
      <c r="C48" s="1">
        <v>4.7073799999999997</v>
      </c>
      <c r="D48" s="1">
        <v>3873.24</v>
      </c>
      <c r="E48" s="1">
        <v>3.19876</v>
      </c>
      <c r="F48" s="1">
        <v>57.0197</v>
      </c>
      <c r="I48" s="3">
        <v>41944</v>
      </c>
    </row>
    <row r="49" spans="1:9" x14ac:dyDescent="0.2">
      <c r="A49" s="1" t="s">
        <v>118</v>
      </c>
      <c r="B49" s="1">
        <v>4.9226600000000002E-2</v>
      </c>
      <c r="C49" s="1">
        <v>0.31638699999999997</v>
      </c>
      <c r="D49" s="1">
        <v>3870.11</v>
      </c>
      <c r="E49" s="1">
        <v>6.55752E-2</v>
      </c>
      <c r="F49" s="1">
        <v>3.3540999999999999</v>
      </c>
      <c r="I49" s="3">
        <v>42036</v>
      </c>
    </row>
    <row r="50" spans="1:9" x14ac:dyDescent="0.2">
      <c r="A50" s="1" t="s">
        <v>119</v>
      </c>
      <c r="B50" s="1">
        <v>563.27499999999998</v>
      </c>
      <c r="C50" s="1">
        <v>4.7073799999999997</v>
      </c>
      <c r="D50" s="1">
        <v>3873.24</v>
      </c>
      <c r="E50" s="1">
        <v>3.19876</v>
      </c>
      <c r="F50" s="1">
        <v>57.0197</v>
      </c>
      <c r="I50" s="3">
        <v>42095</v>
      </c>
    </row>
    <row r="51" spans="1:9" x14ac:dyDescent="0.2">
      <c r="A51" s="1" t="s">
        <v>14</v>
      </c>
      <c r="B51" s="1">
        <v>3.34355</v>
      </c>
      <c r="C51" s="1">
        <v>0.98293699999999995</v>
      </c>
      <c r="D51" s="1">
        <v>3870.48</v>
      </c>
      <c r="E51" s="1">
        <v>0.43245099999999997</v>
      </c>
      <c r="F51" s="1">
        <v>13.416399999999999</v>
      </c>
      <c r="I51" s="3">
        <v>42125</v>
      </c>
    </row>
    <row r="52" spans="1:9" x14ac:dyDescent="0.2">
      <c r="A52" s="1" t="s">
        <v>120</v>
      </c>
      <c r="B52" s="1">
        <v>0.48703600000000002</v>
      </c>
      <c r="C52" s="1">
        <v>0.41126099999999999</v>
      </c>
      <c r="D52" s="1">
        <v>3870.25</v>
      </c>
      <c r="E52" s="1">
        <v>0.20102300000000001</v>
      </c>
      <c r="F52" s="1">
        <v>20.124600000000001</v>
      </c>
      <c r="I52" s="3">
        <v>42156</v>
      </c>
    </row>
    <row r="53" spans="1:9" x14ac:dyDescent="0.2">
      <c r="A53" s="1" t="s">
        <v>15</v>
      </c>
      <c r="B53" s="1">
        <v>2.29915</v>
      </c>
      <c r="C53" s="1">
        <v>0.94887600000000005</v>
      </c>
      <c r="D53" s="1">
        <v>3870.38</v>
      </c>
      <c r="E53" s="1">
        <v>0.33899299999999999</v>
      </c>
      <c r="F53" s="1">
        <v>10.0623</v>
      </c>
      <c r="I53" s="3">
        <v>42186</v>
      </c>
    </row>
    <row r="54" spans="1:9" x14ac:dyDescent="0.2">
      <c r="A54" s="1" t="s">
        <v>16</v>
      </c>
      <c r="B54" s="1">
        <v>0.32906999999999997</v>
      </c>
      <c r="C54" s="1">
        <v>0.30331799999999998</v>
      </c>
      <c r="D54" s="1">
        <v>3870.21</v>
      </c>
      <c r="E54" s="1">
        <v>0.16738700000000001</v>
      </c>
      <c r="F54" s="1">
        <v>30.186900000000001</v>
      </c>
      <c r="I54" s="3">
        <v>42217</v>
      </c>
    </row>
    <row r="55" spans="1:9" x14ac:dyDescent="0.2">
      <c r="A55" s="1" t="s">
        <v>17</v>
      </c>
      <c r="B55" s="1">
        <v>0.39190999999999998</v>
      </c>
      <c r="C55" s="1">
        <v>0.40360800000000002</v>
      </c>
      <c r="D55" s="1">
        <v>3870.23</v>
      </c>
      <c r="E55" s="1">
        <v>0.18382799999999999</v>
      </c>
      <c r="F55" s="1">
        <v>16.770499999999998</v>
      </c>
      <c r="I55" s="3">
        <v>42248</v>
      </c>
    </row>
    <row r="56" spans="1:9" x14ac:dyDescent="0.2">
      <c r="A56" s="1" t="s">
        <v>18</v>
      </c>
      <c r="B56" s="1">
        <v>5.7402799999999997E-2</v>
      </c>
      <c r="C56" s="1">
        <v>0.153561</v>
      </c>
      <c r="D56" s="1">
        <v>3870.15</v>
      </c>
      <c r="E56" s="1">
        <v>0.107891</v>
      </c>
      <c r="F56" s="1">
        <v>26.832799999999999</v>
      </c>
      <c r="I56" s="3">
        <v>42278</v>
      </c>
    </row>
    <row r="57" spans="1:9" x14ac:dyDescent="0.2">
      <c r="A57" s="1" t="s">
        <v>20</v>
      </c>
      <c r="B57" s="1">
        <v>0.56068499999999999</v>
      </c>
      <c r="C57" s="1">
        <v>0.343609</v>
      </c>
      <c r="D57" s="1">
        <v>3870.24</v>
      </c>
      <c r="E57" s="1">
        <v>0.19233</v>
      </c>
      <c r="F57" s="1">
        <v>33.540999999999997</v>
      </c>
      <c r="I57" s="3">
        <v>42491</v>
      </c>
    </row>
    <row r="58" spans="1:9" x14ac:dyDescent="0.2">
      <c r="A58" s="1" t="s">
        <v>21</v>
      </c>
      <c r="B58" s="1">
        <v>4.9226600000000002E-2</v>
      </c>
      <c r="C58" s="1">
        <v>0.31638699999999997</v>
      </c>
      <c r="D58" s="1">
        <v>3870.11</v>
      </c>
      <c r="E58" s="1">
        <v>6.55752E-2</v>
      </c>
      <c r="F58" s="1">
        <v>3.3540999999999999</v>
      </c>
      <c r="I58" s="3">
        <v>42552</v>
      </c>
    </row>
    <row r="59" spans="1:9" x14ac:dyDescent="0.2">
      <c r="A59" s="1" t="s">
        <v>22</v>
      </c>
      <c r="B59" s="1">
        <v>0.32906999999999997</v>
      </c>
      <c r="C59" s="1">
        <v>0.30331799999999998</v>
      </c>
      <c r="D59" s="1">
        <v>3870.21</v>
      </c>
      <c r="E59" s="1">
        <v>0.16738700000000001</v>
      </c>
      <c r="F59" s="1">
        <v>30.186900000000001</v>
      </c>
      <c r="I59" s="3">
        <v>42614</v>
      </c>
    </row>
    <row r="60" spans="1:9" x14ac:dyDescent="0.2">
      <c r="A60" s="1" t="s">
        <v>145</v>
      </c>
      <c r="B60" s="1">
        <v>441.55099999999999</v>
      </c>
      <c r="C60" s="1">
        <v>4.27759</v>
      </c>
      <c r="D60" s="1">
        <v>3872.88</v>
      </c>
      <c r="E60" s="1">
        <v>2.8345799999999999</v>
      </c>
      <c r="F60" s="1">
        <v>43.603299999999997</v>
      </c>
      <c r="I60" s="3">
        <v>42826</v>
      </c>
    </row>
    <row r="61" spans="1:9" x14ac:dyDescent="0.2">
      <c r="A61" s="1" t="s">
        <v>126</v>
      </c>
      <c r="B61" s="1">
        <v>4.4553599999999999E-2</v>
      </c>
      <c r="C61" s="1">
        <v>0.23200499999999999</v>
      </c>
      <c r="D61" s="1">
        <v>3870.12</v>
      </c>
      <c r="E61" s="1">
        <v>7.5150499999999995E-2</v>
      </c>
      <c r="F61" s="1">
        <v>6.7081999999999997</v>
      </c>
      <c r="I61" s="3">
        <v>42856</v>
      </c>
    </row>
    <row r="62" spans="1:9" x14ac:dyDescent="0.2">
      <c r="A62" s="1" t="s">
        <v>23</v>
      </c>
      <c r="B62" s="1">
        <v>0.48703600000000002</v>
      </c>
      <c r="C62" s="1">
        <v>0.41126099999999999</v>
      </c>
      <c r="D62" s="1">
        <v>3870.25</v>
      </c>
      <c r="E62" s="1">
        <v>0.20102300000000001</v>
      </c>
      <c r="F62" s="1">
        <v>20.124600000000001</v>
      </c>
      <c r="I62" s="3">
        <v>42979</v>
      </c>
    </row>
    <row r="63" spans="1:9" x14ac:dyDescent="0.2">
      <c r="A63" s="1" t="s">
        <v>146</v>
      </c>
      <c r="B63" s="1">
        <v>41.088099999999997</v>
      </c>
      <c r="C63" s="1">
        <v>1.7875399999999999</v>
      </c>
      <c r="D63" s="1">
        <v>3870.88</v>
      </c>
      <c r="E63" s="1">
        <v>0.83555400000000002</v>
      </c>
      <c r="F63" s="1">
        <v>36.895099999999999</v>
      </c>
      <c r="I63" s="3">
        <v>43009</v>
      </c>
    </row>
    <row r="64" spans="1:9" x14ac:dyDescent="0.2">
      <c r="A64" s="1" t="s">
        <v>26</v>
      </c>
      <c r="B64" s="1">
        <v>0.32906999999999997</v>
      </c>
      <c r="C64" s="1">
        <v>0.30331799999999998</v>
      </c>
      <c r="D64" s="1">
        <v>3870.21</v>
      </c>
      <c r="E64" s="1">
        <v>0.16738700000000001</v>
      </c>
      <c r="F64" s="1">
        <v>30.186900000000001</v>
      </c>
      <c r="I64" s="3">
        <v>43191</v>
      </c>
    </row>
    <row r="65" spans="1:9" x14ac:dyDescent="0.2">
      <c r="A65" s="1" t="s">
        <v>127</v>
      </c>
      <c r="B65" s="1">
        <v>2.29915</v>
      </c>
      <c r="C65" s="1">
        <v>0.94887600000000005</v>
      </c>
      <c r="D65" s="1">
        <v>3870.38</v>
      </c>
      <c r="E65" s="1">
        <v>0.33899299999999999</v>
      </c>
      <c r="F65" s="1">
        <v>10.0623</v>
      </c>
      <c r="I65" s="3">
        <v>43252</v>
      </c>
    </row>
    <row r="66" spans="1:9" x14ac:dyDescent="0.2">
      <c r="A66" s="1" t="s">
        <v>28</v>
      </c>
      <c r="B66" s="1">
        <v>4.9226600000000002E-2</v>
      </c>
      <c r="C66" s="1">
        <v>0.31638699999999997</v>
      </c>
      <c r="D66" s="1">
        <v>3870.11</v>
      </c>
      <c r="E66" s="1">
        <v>6.55752E-2</v>
      </c>
      <c r="F66" s="1">
        <v>3.3540999999999999</v>
      </c>
      <c r="I66" s="3">
        <v>43282</v>
      </c>
    </row>
    <row r="67" spans="1:9" x14ac:dyDescent="0.2">
      <c r="A67" s="1" t="s">
        <v>29</v>
      </c>
      <c r="B67" s="1">
        <v>0.39190999999999998</v>
      </c>
      <c r="C67" s="1">
        <v>0.40360800000000002</v>
      </c>
      <c r="D67" s="1">
        <v>3870.23</v>
      </c>
      <c r="E67" s="1">
        <v>0.18382799999999999</v>
      </c>
      <c r="F67" s="1">
        <v>16.770499999999998</v>
      </c>
      <c r="I67" s="3">
        <v>43313</v>
      </c>
    </row>
    <row r="68" spans="1:9" x14ac:dyDescent="0.2">
      <c r="A68" s="1" t="s">
        <v>30</v>
      </c>
      <c r="B68" s="1">
        <v>0.25618200000000002</v>
      </c>
      <c r="C68" s="1">
        <v>0.43224800000000002</v>
      </c>
      <c r="D68" s="1">
        <v>3870.18</v>
      </c>
      <c r="E68" s="1">
        <v>0.138154</v>
      </c>
      <c r="F68" s="1">
        <v>23.4787</v>
      </c>
      <c r="I68" s="3">
        <v>43344</v>
      </c>
    </row>
    <row r="69" spans="1:9" x14ac:dyDescent="0.2">
      <c r="A69" s="1" t="s">
        <v>128</v>
      </c>
      <c r="B69" s="1">
        <v>3.34355</v>
      </c>
      <c r="C69" s="1">
        <v>0.98293699999999995</v>
      </c>
      <c r="D69" s="1">
        <v>3870.48</v>
      </c>
      <c r="E69" s="1">
        <v>0.43245099999999997</v>
      </c>
      <c r="F69" s="1">
        <v>13.416399999999999</v>
      </c>
      <c r="I69" s="3">
        <v>43374</v>
      </c>
    </row>
    <row r="70" spans="1:9" x14ac:dyDescent="0.2">
      <c r="A70" s="1" t="s">
        <v>132</v>
      </c>
      <c r="B70" s="1">
        <v>0.25618200000000002</v>
      </c>
      <c r="C70" s="1">
        <v>0.43224800000000002</v>
      </c>
      <c r="D70" s="1">
        <v>3870.18</v>
      </c>
      <c r="E70" s="1">
        <v>0.138154</v>
      </c>
      <c r="F70" s="1">
        <v>23.4787</v>
      </c>
      <c r="I70" s="3">
        <v>43586</v>
      </c>
    </row>
    <row r="71" spans="1:9" x14ac:dyDescent="0.2">
      <c r="A71" s="1" t="s">
        <v>133</v>
      </c>
      <c r="B71" s="1">
        <v>41.088099999999997</v>
      </c>
      <c r="C71" s="1">
        <v>1.7875399999999999</v>
      </c>
      <c r="D71" s="1">
        <v>3870.88</v>
      </c>
      <c r="E71" s="1">
        <v>0.83555400000000002</v>
      </c>
      <c r="F71" s="1">
        <v>36.895099999999999</v>
      </c>
      <c r="I71" s="3">
        <v>43678</v>
      </c>
    </row>
    <row r="72" spans="1:9" x14ac:dyDescent="0.2">
      <c r="A72" s="1" t="s">
        <v>134</v>
      </c>
      <c r="B72" s="1">
        <v>2.29915</v>
      </c>
      <c r="C72" s="1">
        <v>0.94887600000000005</v>
      </c>
      <c r="D72" s="1">
        <v>3870.38</v>
      </c>
      <c r="E72" s="1">
        <v>0.33899299999999999</v>
      </c>
      <c r="F72" s="1">
        <v>10.0623</v>
      </c>
      <c r="I72" s="3">
        <v>43709</v>
      </c>
    </row>
    <row r="73" spans="1:9" x14ac:dyDescent="0.2">
      <c r="A73" s="1" t="s">
        <v>32</v>
      </c>
      <c r="B73" s="1">
        <v>2.29915</v>
      </c>
      <c r="C73" s="1">
        <v>0.94887600000000005</v>
      </c>
      <c r="D73" s="1">
        <v>3870.38</v>
      </c>
      <c r="E73" s="1">
        <v>0.33899299999999999</v>
      </c>
      <c r="F73" s="1">
        <v>10.0623</v>
      </c>
      <c r="I73" s="3">
        <v>43739</v>
      </c>
    </row>
    <row r="74" spans="1:9" x14ac:dyDescent="0.2">
      <c r="A74" s="1" t="s">
        <v>147</v>
      </c>
      <c r="B74" s="1">
        <v>0.32906999999999997</v>
      </c>
      <c r="C74" s="1">
        <v>0.30331799999999998</v>
      </c>
      <c r="D74" s="1">
        <v>3870.21</v>
      </c>
      <c r="E74" s="1">
        <v>0.16738700000000001</v>
      </c>
      <c r="F74" s="1">
        <v>30.186900000000001</v>
      </c>
      <c r="I74" s="3">
        <v>43770</v>
      </c>
    </row>
    <row r="75" spans="1:9" x14ac:dyDescent="0.2">
      <c r="A75" s="1" t="s">
        <v>148</v>
      </c>
      <c r="B75" s="1">
        <v>0.32906999999999997</v>
      </c>
      <c r="C75" s="1">
        <v>0.30331799999999998</v>
      </c>
      <c r="D75" s="1">
        <v>3870.21</v>
      </c>
      <c r="E75" s="1">
        <v>0.16738700000000001</v>
      </c>
      <c r="F75" s="1">
        <v>30.186900000000001</v>
      </c>
      <c r="I75" s="3">
        <v>43922</v>
      </c>
    </row>
    <row r="76" spans="1:9" x14ac:dyDescent="0.2">
      <c r="A76" s="1" t="s">
        <v>34</v>
      </c>
      <c r="B76" s="1">
        <v>2.29915</v>
      </c>
      <c r="C76" s="1">
        <v>0.94887600000000005</v>
      </c>
      <c r="D76" s="1">
        <v>3870.38</v>
      </c>
      <c r="E76" s="1">
        <v>0.33899299999999999</v>
      </c>
      <c r="F76" s="1">
        <v>10.0623</v>
      </c>
      <c r="I76" s="3">
        <v>43952</v>
      </c>
    </row>
    <row r="77" spans="1:9" x14ac:dyDescent="0.2">
      <c r="A77" s="1" t="s">
        <v>35</v>
      </c>
      <c r="B77" s="1">
        <v>0.25618200000000002</v>
      </c>
      <c r="C77" s="1">
        <v>0.43224800000000002</v>
      </c>
      <c r="D77" s="1">
        <v>3870.18</v>
      </c>
      <c r="E77" s="1">
        <v>0.138154</v>
      </c>
      <c r="F77" s="1">
        <v>23.4787</v>
      </c>
      <c r="I77" s="3">
        <v>43983</v>
      </c>
    </row>
    <row r="81" spans="1:6" x14ac:dyDescent="0.2">
      <c r="A81" s="1" t="s">
        <v>175</v>
      </c>
      <c r="B81" s="2">
        <f>AVERAGE(B2:B77)</f>
        <v>44.498358568421033</v>
      </c>
      <c r="C81" s="2">
        <f t="shared" ref="C81:F81" si="21">AVERAGE(C2:C77)</f>
        <v>0.82540632894736832</v>
      </c>
      <c r="D81" s="2">
        <f t="shared" si="21"/>
        <v>3870.4824999999996</v>
      </c>
      <c r="E81" s="2">
        <f t="shared" si="21"/>
        <v>0.43804295131578941</v>
      </c>
      <c r="F81" s="2">
        <f t="shared" si="21"/>
        <v>19.197809210526312</v>
      </c>
    </row>
    <row r="82" spans="1:6" x14ac:dyDescent="0.2">
      <c r="A82" s="1" t="s">
        <v>176</v>
      </c>
      <c r="B82" s="2">
        <f>MIN(B2:B77)</f>
        <v>4.4553599999999999E-2</v>
      </c>
      <c r="C82" s="2">
        <f t="shared" ref="C82:F82" si="22">MIN(C2:C77)</f>
        <v>0.153561</v>
      </c>
      <c r="D82" s="2">
        <f t="shared" si="22"/>
        <v>3870.11</v>
      </c>
      <c r="E82" s="2">
        <f t="shared" si="22"/>
        <v>6.55752E-2</v>
      </c>
      <c r="F82" s="2">
        <f t="shared" si="22"/>
        <v>3.3540999999999999</v>
      </c>
    </row>
    <row r="83" spans="1:6" x14ac:dyDescent="0.2">
      <c r="A83" s="1" t="s">
        <v>177</v>
      </c>
      <c r="B83" s="2">
        <f>MAX(B2:B77)</f>
        <v>563.27499999999998</v>
      </c>
      <c r="C83" s="2">
        <f t="shared" ref="C83:F83" si="23">MAX(C2:C77)</f>
        <v>4.7073799999999997</v>
      </c>
      <c r="D83" s="2">
        <f t="shared" si="23"/>
        <v>3873.43</v>
      </c>
      <c r="E83" s="2">
        <f t="shared" si="23"/>
        <v>3.38232</v>
      </c>
      <c r="F83" s="2">
        <f t="shared" si="23"/>
        <v>57.0197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02354-D062-4A23-A7D6-49C3A4F60FC3}">
  <dimension ref="A1:P125"/>
  <sheetViews>
    <sheetView topLeftCell="A94" workbookViewId="0">
      <selection activeCell="B125" sqref="B125:F125"/>
    </sheetView>
  </sheetViews>
  <sheetFormatPr defaultRowHeight="14.25" x14ac:dyDescent="0.2"/>
  <cols>
    <col min="1" max="1" width="19.625" customWidth="1"/>
    <col min="2" max="2" width="11.625" bestFit="1" customWidth="1"/>
    <col min="3" max="3" width="16.375" bestFit="1" customWidth="1"/>
    <col min="4" max="4" width="13.625" bestFit="1" customWidth="1"/>
    <col min="5" max="5" width="14.625" bestFit="1" customWidth="1"/>
    <col min="6" max="6" width="14.375" bestFit="1" customWidth="1"/>
    <col min="9" max="9" width="12.375" customWidth="1"/>
  </cols>
  <sheetData>
    <row r="1" spans="1:16" x14ac:dyDescent="0.2">
      <c r="A1" t="s">
        <v>149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178</v>
      </c>
      <c r="K1" s="1" t="s">
        <v>183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</row>
    <row r="2" spans="1:16" x14ac:dyDescent="0.2">
      <c r="A2" t="s">
        <v>37</v>
      </c>
      <c r="B2">
        <v>34.8797</v>
      </c>
      <c r="C2">
        <v>1.07595</v>
      </c>
      <c r="D2">
        <v>3869.41</v>
      </c>
      <c r="E2">
        <v>2.1186099999999999</v>
      </c>
      <c r="F2">
        <v>26.311699999999998</v>
      </c>
      <c r="I2" s="4">
        <v>36342</v>
      </c>
      <c r="K2" s="1">
        <v>1999</v>
      </c>
      <c r="L2" s="1">
        <f>AVERAGE(B2:B3)</f>
        <v>28.721249999999998</v>
      </c>
      <c r="M2" s="1">
        <f t="shared" ref="M2:P2" si="0">AVERAGE(C2:C3)</f>
        <v>1.036735</v>
      </c>
      <c r="N2" s="1">
        <f t="shared" si="0"/>
        <v>3869.1899999999996</v>
      </c>
      <c r="O2" s="1">
        <f t="shared" si="0"/>
        <v>1.898825</v>
      </c>
      <c r="P2" s="1">
        <f t="shared" si="0"/>
        <v>23.680549999999997</v>
      </c>
    </row>
    <row r="3" spans="1:16" x14ac:dyDescent="0.2">
      <c r="A3" t="s">
        <v>38</v>
      </c>
      <c r="B3">
        <v>22.562799999999999</v>
      </c>
      <c r="C3">
        <v>0.99751999999999996</v>
      </c>
      <c r="D3">
        <v>3868.97</v>
      </c>
      <c r="E3">
        <v>1.6790400000000001</v>
      </c>
      <c r="F3">
        <v>21.049399999999999</v>
      </c>
      <c r="I3" s="4">
        <v>36404</v>
      </c>
      <c r="K3" s="1">
        <v>2000</v>
      </c>
      <c r="L3" s="1">
        <f>AVERAGE(B4:B6)</f>
        <v>11.839381533333333</v>
      </c>
      <c r="M3" s="1">
        <f t="shared" ref="M3:P3" si="1">AVERAGE(C4:C6)</f>
        <v>0.45959100000000003</v>
      </c>
      <c r="N3" s="1">
        <f t="shared" si="1"/>
        <v>3868.1300000000006</v>
      </c>
      <c r="O3" s="1">
        <f t="shared" si="1"/>
        <v>0.83264533333333324</v>
      </c>
      <c r="P3" s="1">
        <f t="shared" si="1"/>
        <v>14.032933333333332</v>
      </c>
    </row>
    <row r="4" spans="1:16" x14ac:dyDescent="0.2">
      <c r="A4" t="s">
        <v>40</v>
      </c>
      <c r="B4">
        <v>35.340299999999999</v>
      </c>
      <c r="C4">
        <v>0.99965300000000001</v>
      </c>
      <c r="D4">
        <v>3869.51</v>
      </c>
      <c r="E4">
        <v>2.21773</v>
      </c>
      <c r="F4">
        <v>31.574100000000001</v>
      </c>
      <c r="I4" s="4">
        <v>36647</v>
      </c>
      <c r="K4" s="1">
        <v>2001</v>
      </c>
      <c r="L4" s="1">
        <f>AVERAGE(B7:B12)</f>
        <v>4.0609760483333339</v>
      </c>
      <c r="M4" s="1">
        <f t="shared" ref="M4:P4" si="2">AVERAGE(C7:C12)</f>
        <v>0.45926991666666667</v>
      </c>
      <c r="N4" s="1">
        <f t="shared" si="2"/>
        <v>3867.9033333333332</v>
      </c>
      <c r="O4" s="1">
        <f t="shared" si="2"/>
        <v>0.60704566666666671</v>
      </c>
      <c r="P4" s="1">
        <f t="shared" si="2"/>
        <v>10.96322</v>
      </c>
    </row>
    <row r="5" spans="1:16" x14ac:dyDescent="0.2">
      <c r="A5" t="s">
        <v>41</v>
      </c>
      <c r="B5">
        <v>8.8922299999999996E-2</v>
      </c>
      <c r="C5">
        <v>0.18956000000000001</v>
      </c>
      <c r="D5">
        <v>3867.44</v>
      </c>
      <c r="E5">
        <v>0.14010300000000001</v>
      </c>
      <c r="F5">
        <v>5.2623499999999996</v>
      </c>
      <c r="I5" s="4">
        <v>36770</v>
      </c>
      <c r="K5" s="1">
        <v>2002</v>
      </c>
      <c r="L5" s="1">
        <f>AVERAGE(B13:B16)</f>
        <v>22.146350997499997</v>
      </c>
      <c r="M5" s="1">
        <f t="shared" ref="M5:P5" si="3">AVERAGE(C13:C16)</f>
        <v>0.716819875</v>
      </c>
      <c r="N5" s="1">
        <f t="shared" si="3"/>
        <v>3868.7925</v>
      </c>
      <c r="O5" s="1">
        <f t="shared" si="3"/>
        <v>1.50004425</v>
      </c>
      <c r="P5" s="1">
        <f t="shared" si="3"/>
        <v>23.022767499999997</v>
      </c>
    </row>
    <row r="6" spans="1:16" x14ac:dyDescent="0.2">
      <c r="A6" t="s">
        <v>42</v>
      </c>
      <c r="B6">
        <v>8.8922299999999996E-2</v>
      </c>
      <c r="C6">
        <v>0.18956000000000001</v>
      </c>
      <c r="D6">
        <v>3867.44</v>
      </c>
      <c r="E6">
        <v>0.14010300000000001</v>
      </c>
      <c r="F6">
        <v>5.2623499999999996</v>
      </c>
      <c r="I6" s="4">
        <v>36800</v>
      </c>
      <c r="K6" s="1">
        <v>2003</v>
      </c>
      <c r="L6" s="1">
        <f>AVERAGE(B17:B21)</f>
        <v>20.226714799999996</v>
      </c>
      <c r="M6" s="1">
        <f t="shared" ref="M6:P6" si="4">AVERAGE(C17:C21)</f>
        <v>0.75370819999999994</v>
      </c>
      <c r="N6" s="1">
        <f t="shared" si="4"/>
        <v>3868.9199999999996</v>
      </c>
      <c r="O6" s="1">
        <f t="shared" si="4"/>
        <v>1.6256968000000001</v>
      </c>
      <c r="P6" s="1">
        <f t="shared" si="4"/>
        <v>34.731504000000001</v>
      </c>
    </row>
    <row r="7" spans="1:16" x14ac:dyDescent="0.2">
      <c r="A7" t="s">
        <v>44</v>
      </c>
      <c r="B7">
        <v>13.3825</v>
      </c>
      <c r="C7">
        <v>0.84698300000000004</v>
      </c>
      <c r="D7">
        <v>3868.62</v>
      </c>
      <c r="E7">
        <v>1.32735</v>
      </c>
      <c r="F7">
        <v>18.418199999999999</v>
      </c>
      <c r="I7" s="4">
        <v>36982</v>
      </c>
      <c r="K7" s="1">
        <v>2004</v>
      </c>
      <c r="L7" s="1">
        <f>AVERAGE(B22:B25)</f>
        <v>28.3946775</v>
      </c>
      <c r="M7" s="1">
        <f t="shared" ref="M7:P7" si="5">AVERAGE(C22:C25)</f>
        <v>0.84169299999999991</v>
      </c>
      <c r="N7" s="1">
        <f t="shared" si="5"/>
        <v>3869.1400000000003</v>
      </c>
      <c r="O7" s="1">
        <f t="shared" si="5"/>
        <v>1.84547975</v>
      </c>
      <c r="P7" s="1">
        <f t="shared" si="5"/>
        <v>28.285125000000001</v>
      </c>
    </row>
    <row r="8" spans="1:16" x14ac:dyDescent="0.2">
      <c r="A8" t="s">
        <v>45</v>
      </c>
      <c r="B8">
        <v>6.4202300000000001</v>
      </c>
      <c r="C8">
        <v>0.67199900000000001</v>
      </c>
      <c r="D8">
        <v>3868.26</v>
      </c>
      <c r="E8">
        <v>0.96184400000000003</v>
      </c>
      <c r="F8">
        <v>15.787000000000001</v>
      </c>
      <c r="I8" s="4">
        <v>37043</v>
      </c>
      <c r="K8" s="1">
        <v>2005</v>
      </c>
      <c r="L8" s="1">
        <f>AVERAGE(B26:B30)</f>
        <v>28.803260000000002</v>
      </c>
      <c r="M8" s="1">
        <f t="shared" ref="M8:P8" si="6">AVERAGE(C26:C30)</f>
        <v>1.0282066000000001</v>
      </c>
      <c r="N8" s="1">
        <f t="shared" si="6"/>
        <v>3869.2059999999997</v>
      </c>
      <c r="O8" s="1">
        <f t="shared" si="6"/>
        <v>1.9135839999999997</v>
      </c>
      <c r="P8" s="1">
        <f t="shared" si="6"/>
        <v>32.100319999999996</v>
      </c>
    </row>
    <row r="9" spans="1:16" x14ac:dyDescent="0.2">
      <c r="A9" t="s">
        <v>46</v>
      </c>
      <c r="B9">
        <v>8.8922299999999996E-2</v>
      </c>
      <c r="C9">
        <v>0.18956000000000001</v>
      </c>
      <c r="D9">
        <v>3867.44</v>
      </c>
      <c r="E9">
        <v>0.14010300000000001</v>
      </c>
      <c r="F9">
        <v>5.2623499999999996</v>
      </c>
      <c r="I9" s="4">
        <v>37104</v>
      </c>
      <c r="K9" s="1">
        <v>2006</v>
      </c>
      <c r="L9" s="1">
        <f>AVERAGE(B31:B36)</f>
        <v>30.272381666666671</v>
      </c>
      <c r="M9" s="1">
        <f t="shared" ref="M9:P9" si="7">AVERAGE(C31:C36)</f>
        <v>0.93486733333333338</v>
      </c>
      <c r="N9" s="1">
        <f t="shared" si="7"/>
        <v>3869.2416666666668</v>
      </c>
      <c r="O9" s="1">
        <f t="shared" si="7"/>
        <v>1.9477801666666668</v>
      </c>
      <c r="P9" s="1">
        <f t="shared" si="7"/>
        <v>34.643800000000006</v>
      </c>
    </row>
    <row r="10" spans="1:16" x14ac:dyDescent="0.2">
      <c r="A10" t="s">
        <v>47</v>
      </c>
      <c r="B10">
        <v>5.3039899999999997E-3</v>
      </c>
      <c r="C10">
        <v>8.0713499999999994E-2</v>
      </c>
      <c r="D10">
        <v>3867.33</v>
      </c>
      <c r="E10">
        <v>3.8726999999999998E-2</v>
      </c>
      <c r="F10">
        <v>2.63117</v>
      </c>
      <c r="I10" s="4">
        <v>37135</v>
      </c>
      <c r="K10" s="1">
        <v>2007</v>
      </c>
      <c r="L10" s="1">
        <f>AVERAGE(B37:B47)</f>
        <v>25.727881818181821</v>
      </c>
      <c r="M10" s="1">
        <f t="shared" ref="M10:P10" si="8">AVERAGE(C37:C47)</f>
        <v>0.88226963636363631</v>
      </c>
      <c r="N10" s="1">
        <f t="shared" si="8"/>
        <v>3869.2336363636364</v>
      </c>
      <c r="O10" s="1">
        <f t="shared" si="8"/>
        <v>1.9396218181818179</v>
      </c>
      <c r="P10" s="1">
        <f t="shared" si="8"/>
        <v>36.358045454545454</v>
      </c>
    </row>
    <row r="11" spans="1:16" x14ac:dyDescent="0.2">
      <c r="A11" t="s">
        <v>48</v>
      </c>
      <c r="B11">
        <v>1.3670100000000001</v>
      </c>
      <c r="C11">
        <v>0.42634899999999998</v>
      </c>
      <c r="D11">
        <v>3867.78</v>
      </c>
      <c r="E11">
        <v>0.48044900000000001</v>
      </c>
      <c r="F11">
        <v>10.524699999999999</v>
      </c>
      <c r="I11" s="4">
        <v>37165</v>
      </c>
      <c r="K11" s="1">
        <v>2008</v>
      </c>
      <c r="L11" s="1">
        <f>AVERAGE(B48:B52)</f>
        <v>35.70244000000001</v>
      </c>
      <c r="M11" s="1">
        <f t="shared" ref="M11:P11" si="9">AVERAGE(C48:C52)</f>
        <v>1.0130105999999999</v>
      </c>
      <c r="N11" s="1">
        <f t="shared" si="9"/>
        <v>3869.4919999999997</v>
      </c>
      <c r="O11" s="1">
        <f t="shared" si="9"/>
        <v>2.1986300000000001</v>
      </c>
      <c r="P11" s="1">
        <f t="shared" si="9"/>
        <v>44.203719999999997</v>
      </c>
    </row>
    <row r="12" spans="1:16" x14ac:dyDescent="0.2">
      <c r="A12" t="s">
        <v>49</v>
      </c>
      <c r="B12">
        <v>3.10189</v>
      </c>
      <c r="C12">
        <v>0.54001500000000002</v>
      </c>
      <c r="D12">
        <v>3867.99</v>
      </c>
      <c r="E12">
        <v>0.693801</v>
      </c>
      <c r="F12">
        <v>13.155900000000001</v>
      </c>
      <c r="I12" s="4">
        <v>37196</v>
      </c>
      <c r="K12" s="1">
        <v>2009</v>
      </c>
      <c r="L12" s="1">
        <f>AVERAGE(B53:B57)</f>
        <v>35.84402</v>
      </c>
      <c r="M12" s="1">
        <f t="shared" ref="M12:P12" si="10">AVERAGE(C53:C57)</f>
        <v>0.97843999999999998</v>
      </c>
      <c r="N12" s="1">
        <f t="shared" si="10"/>
        <v>3869.55</v>
      </c>
      <c r="O12" s="1">
        <f t="shared" si="10"/>
        <v>2.2574759999999996</v>
      </c>
      <c r="P12" s="1">
        <f t="shared" si="10"/>
        <v>34.205280000000002</v>
      </c>
    </row>
    <row r="13" spans="1:16" x14ac:dyDescent="0.2">
      <c r="A13" t="s">
        <v>50</v>
      </c>
      <c r="B13">
        <v>35.340299999999999</v>
      </c>
      <c r="C13">
        <v>0.99965300000000001</v>
      </c>
      <c r="D13">
        <v>3869.51</v>
      </c>
      <c r="E13">
        <v>2.21773</v>
      </c>
      <c r="F13">
        <v>31.574100000000001</v>
      </c>
      <c r="I13" s="4">
        <v>37347</v>
      </c>
      <c r="K13" s="1">
        <v>2010</v>
      </c>
      <c r="L13" s="1">
        <f>AVERAGE(B58:B63)</f>
        <v>33.033216666666668</v>
      </c>
      <c r="M13" s="1">
        <f t="shared" ref="M13:P13" si="11">AVERAGE(C58:C63)</f>
        <v>1.0065096666666666</v>
      </c>
      <c r="N13" s="1">
        <f t="shared" si="11"/>
        <v>3869.4116666666669</v>
      </c>
      <c r="O13" s="1">
        <f t="shared" si="11"/>
        <v>2.118853333333333</v>
      </c>
      <c r="P13" s="1">
        <f t="shared" si="11"/>
        <v>40.783200000000001</v>
      </c>
    </row>
    <row r="14" spans="1:16" x14ac:dyDescent="0.2">
      <c r="A14" t="s">
        <v>51</v>
      </c>
      <c r="B14">
        <v>39.857300000000002</v>
      </c>
      <c r="C14">
        <v>0.93993000000000004</v>
      </c>
      <c r="D14">
        <v>3869.71</v>
      </c>
      <c r="E14">
        <v>2.4163700000000001</v>
      </c>
      <c r="F14">
        <v>39.467599999999997</v>
      </c>
      <c r="I14" s="4">
        <v>37408</v>
      </c>
      <c r="K14" s="1">
        <v>2011</v>
      </c>
      <c r="L14" s="1">
        <f>AVERAGE(B64:B68)</f>
        <v>33.623000000000005</v>
      </c>
      <c r="M14" s="1">
        <f t="shared" ref="M14:P14" si="12">AVERAGE(C64:C68)</f>
        <v>0.91279040000000011</v>
      </c>
      <c r="N14" s="1">
        <f t="shared" si="12"/>
        <v>3869.5320000000002</v>
      </c>
      <c r="O14" s="1">
        <f t="shared" si="12"/>
        <v>2.23794</v>
      </c>
      <c r="P14" s="1">
        <f t="shared" si="12"/>
        <v>42.098779999999998</v>
      </c>
    </row>
    <row r="15" spans="1:16" x14ac:dyDescent="0.2">
      <c r="A15" t="s">
        <v>52</v>
      </c>
      <c r="B15">
        <v>13.3825</v>
      </c>
      <c r="C15">
        <v>0.84698300000000004</v>
      </c>
      <c r="D15">
        <v>3868.62</v>
      </c>
      <c r="E15">
        <v>1.32735</v>
      </c>
      <c r="F15">
        <v>18.418199999999999</v>
      </c>
      <c r="I15" s="4">
        <v>37469</v>
      </c>
      <c r="K15" s="1">
        <v>2012</v>
      </c>
      <c r="L15" s="1">
        <f>AVERAGE(B69:B75)</f>
        <v>29.368057712857137</v>
      </c>
      <c r="M15" s="1">
        <f t="shared" ref="M15:P15" si="13">AVERAGE(C69:C75)</f>
        <v>0.91694949999999997</v>
      </c>
      <c r="N15" s="1">
        <f t="shared" si="13"/>
        <v>3869.1071428571436</v>
      </c>
      <c r="O15" s="1">
        <f t="shared" si="13"/>
        <v>1.8148181428571426</v>
      </c>
      <c r="P15" s="1">
        <f t="shared" si="13"/>
        <v>33.07761</v>
      </c>
    </row>
    <row r="16" spans="1:16" x14ac:dyDescent="0.2">
      <c r="A16" t="s">
        <v>53</v>
      </c>
      <c r="B16">
        <v>5.3039899999999997E-3</v>
      </c>
      <c r="C16">
        <v>8.0713499999999994E-2</v>
      </c>
      <c r="D16">
        <v>3867.33</v>
      </c>
      <c r="E16">
        <v>3.8726999999999998E-2</v>
      </c>
      <c r="F16">
        <v>2.63117</v>
      </c>
      <c r="I16" s="4">
        <v>37530</v>
      </c>
      <c r="K16" s="1">
        <v>2013</v>
      </c>
      <c r="L16" s="1">
        <f>AVERAGE(B76:B80)</f>
        <v>17.007655999999997</v>
      </c>
      <c r="M16" s="1">
        <f t="shared" ref="M16:P16" si="14">AVERAGE(C76:C80)</f>
        <v>0.77716299999999994</v>
      </c>
      <c r="N16" s="1">
        <f t="shared" si="14"/>
        <v>3868.7259999999997</v>
      </c>
      <c r="O16" s="1">
        <f t="shared" si="14"/>
        <v>1.4312603999999998</v>
      </c>
      <c r="P16" s="1">
        <f t="shared" si="14"/>
        <v>26.31176</v>
      </c>
    </row>
    <row r="17" spans="1:16" x14ac:dyDescent="0.2">
      <c r="A17" t="s">
        <v>54</v>
      </c>
      <c r="B17">
        <v>21.391999999999999</v>
      </c>
      <c r="C17">
        <v>0.73231500000000005</v>
      </c>
      <c r="D17">
        <v>3869.27</v>
      </c>
      <c r="E17">
        <v>1.97105</v>
      </c>
      <c r="F17">
        <v>57.885800000000003</v>
      </c>
      <c r="I17" s="4">
        <v>37622</v>
      </c>
      <c r="K17" s="1">
        <v>2014</v>
      </c>
      <c r="L17" s="1">
        <f>AVERAGE(B81:B84)</f>
        <v>19.684455</v>
      </c>
      <c r="M17" s="1">
        <f t="shared" ref="M17:P17" si="15">AVERAGE(C81:C84)</f>
        <v>0.76133624999999994</v>
      </c>
      <c r="N17" s="1">
        <f t="shared" si="15"/>
        <v>3868.855</v>
      </c>
      <c r="O17" s="1">
        <f t="shared" si="15"/>
        <v>1.5600037500000001</v>
      </c>
      <c r="P17" s="1">
        <f t="shared" si="15"/>
        <v>26.969549999999998</v>
      </c>
    </row>
    <row r="18" spans="1:16" x14ac:dyDescent="0.2">
      <c r="A18" t="s">
        <v>56</v>
      </c>
      <c r="B18">
        <v>22.562799999999999</v>
      </c>
      <c r="C18">
        <v>0.99751999999999996</v>
      </c>
      <c r="D18">
        <v>3868.97</v>
      </c>
      <c r="E18">
        <v>1.6790400000000001</v>
      </c>
      <c r="F18">
        <v>21.049399999999999</v>
      </c>
      <c r="I18" s="4">
        <v>37712</v>
      </c>
      <c r="K18" s="1">
        <v>2015</v>
      </c>
      <c r="L18" s="1">
        <f>AVERAGE(B85:B91)</f>
        <v>30.514229141428565</v>
      </c>
      <c r="M18" s="1">
        <f t="shared" ref="M18:P18" si="16">AVERAGE(C85:C91)</f>
        <v>0.82694764285714284</v>
      </c>
      <c r="N18" s="1">
        <f t="shared" si="16"/>
        <v>3869.2200000000003</v>
      </c>
      <c r="O18" s="1">
        <f t="shared" si="16"/>
        <v>1.9277867142857139</v>
      </c>
      <c r="P18" s="1">
        <f t="shared" si="16"/>
        <v>35.708795714285714</v>
      </c>
    </row>
    <row r="19" spans="1:16" x14ac:dyDescent="0.2">
      <c r="A19" t="s">
        <v>57</v>
      </c>
      <c r="B19">
        <v>35.340299999999999</v>
      </c>
      <c r="C19">
        <v>0.99965300000000001</v>
      </c>
      <c r="D19">
        <v>3869.51</v>
      </c>
      <c r="E19">
        <v>2.21773</v>
      </c>
      <c r="F19">
        <v>31.574100000000001</v>
      </c>
      <c r="I19" s="4">
        <v>37742</v>
      </c>
      <c r="K19" s="1">
        <v>2016</v>
      </c>
      <c r="L19" s="1">
        <f>AVERAGE(B92:B98)</f>
        <v>11.091918284285715</v>
      </c>
      <c r="M19" s="1">
        <f t="shared" ref="M19:P19" si="17">AVERAGE(C92:C98)</f>
        <v>0.56338707142857136</v>
      </c>
      <c r="N19" s="1">
        <f t="shared" si="17"/>
        <v>3868.3428571428567</v>
      </c>
      <c r="O19" s="1">
        <f t="shared" si="17"/>
        <v>1.047607142857143</v>
      </c>
      <c r="P19" s="1">
        <f t="shared" si="17"/>
        <v>22.177027142857145</v>
      </c>
    </row>
    <row r="20" spans="1:16" x14ac:dyDescent="0.2">
      <c r="A20" t="s">
        <v>58</v>
      </c>
      <c r="B20">
        <v>21.391999999999999</v>
      </c>
      <c r="C20">
        <v>0.73231500000000005</v>
      </c>
      <c r="D20">
        <v>3869.27</v>
      </c>
      <c r="E20">
        <v>1.97105</v>
      </c>
      <c r="F20">
        <v>55.2547</v>
      </c>
      <c r="I20" s="4">
        <v>37803</v>
      </c>
      <c r="K20" s="1">
        <v>2017</v>
      </c>
      <c r="L20" s="1">
        <f>AVERAGE(B99:B102)</f>
        <v>31.222825</v>
      </c>
      <c r="M20" s="1">
        <f t="shared" ref="M20:P20" si="18">AVERAGE(C99:C102)</f>
        <v>0.98620350000000001</v>
      </c>
      <c r="N20" s="1">
        <f t="shared" si="18"/>
        <v>3869.3625000000002</v>
      </c>
      <c r="O20" s="1">
        <f t="shared" si="18"/>
        <v>2.0707374999999999</v>
      </c>
      <c r="P20" s="1">
        <f t="shared" si="18"/>
        <v>35.520849999999996</v>
      </c>
    </row>
    <row r="21" spans="1:16" x14ac:dyDescent="0.2">
      <c r="A21" t="s">
        <v>59</v>
      </c>
      <c r="B21">
        <v>0.44647399999999998</v>
      </c>
      <c r="C21">
        <v>0.30673800000000001</v>
      </c>
      <c r="D21">
        <v>3867.58</v>
      </c>
      <c r="E21">
        <v>0.28961399999999998</v>
      </c>
      <c r="F21">
        <v>7.8935199999999996</v>
      </c>
      <c r="I21" s="4">
        <v>37865</v>
      </c>
      <c r="K21" s="1">
        <v>2018</v>
      </c>
      <c r="L21" s="1">
        <f>AVERAGE(B103:B108)</f>
        <v>27.714168333333333</v>
      </c>
      <c r="M21" s="1">
        <f t="shared" ref="M21:P21" si="19">AVERAGE(C103:C108)</f>
        <v>0.87888633333333332</v>
      </c>
      <c r="N21" s="1">
        <f t="shared" si="19"/>
        <v>3869.1233333333334</v>
      </c>
      <c r="O21" s="1">
        <f t="shared" si="19"/>
        <v>1.8294698333333335</v>
      </c>
      <c r="P21" s="1">
        <f t="shared" si="19"/>
        <v>28.065849999999998</v>
      </c>
    </row>
    <row r="22" spans="1:16" x14ac:dyDescent="0.2">
      <c r="A22" t="s">
        <v>60</v>
      </c>
      <c r="B22">
        <v>37.014099999999999</v>
      </c>
      <c r="C22">
        <v>1.00084</v>
      </c>
      <c r="D22">
        <v>3869.56</v>
      </c>
      <c r="E22">
        <v>2.2673700000000001</v>
      </c>
      <c r="F22">
        <v>34.205300000000001</v>
      </c>
      <c r="I22" s="4">
        <v>38047</v>
      </c>
      <c r="K22" s="1">
        <v>2019</v>
      </c>
      <c r="L22" s="1">
        <f>AVERAGE(B109:B115)</f>
        <v>30.307628571428577</v>
      </c>
      <c r="M22" s="1">
        <f t="shared" ref="M22:P22" si="20">AVERAGE(C109:C115)</f>
        <v>0.92116085714285723</v>
      </c>
      <c r="N22" s="1">
        <f t="shared" si="20"/>
        <v>3869.4</v>
      </c>
      <c r="O22" s="1">
        <f t="shared" si="20"/>
        <v>2.1059985714285716</v>
      </c>
      <c r="P22" s="1">
        <f t="shared" si="20"/>
        <v>42.474671428571419</v>
      </c>
    </row>
    <row r="23" spans="1:16" x14ac:dyDescent="0.2">
      <c r="A23" t="s">
        <v>61</v>
      </c>
      <c r="B23">
        <v>1.3670100000000001</v>
      </c>
      <c r="C23">
        <v>0.42634899999999998</v>
      </c>
      <c r="D23">
        <v>3867.78</v>
      </c>
      <c r="E23">
        <v>0.48044900000000001</v>
      </c>
      <c r="F23">
        <v>10.524699999999999</v>
      </c>
      <c r="I23" s="4">
        <v>38200</v>
      </c>
      <c r="K23" s="1">
        <v>2020</v>
      </c>
      <c r="L23" s="1">
        <f>AVERAGE(B116:B119)</f>
        <v>33.406300000000002</v>
      </c>
      <c r="M23" s="1">
        <f t="shared" ref="M23:P23" si="21">AVERAGE(C116:C119)</f>
        <v>0.97321425000000006</v>
      </c>
      <c r="N23" s="1">
        <f t="shared" si="21"/>
        <v>3869.41</v>
      </c>
      <c r="O23" s="1">
        <f t="shared" si="21"/>
        <v>2.1458124999999999</v>
      </c>
      <c r="P23" s="1">
        <f t="shared" si="21"/>
        <v>43.414375</v>
      </c>
    </row>
    <row r="24" spans="1:16" x14ac:dyDescent="0.2">
      <c r="A24" t="s">
        <v>63</v>
      </c>
      <c r="B24">
        <v>35.340299999999999</v>
      </c>
      <c r="C24">
        <v>0.99965300000000001</v>
      </c>
      <c r="D24">
        <v>3869.51</v>
      </c>
      <c r="E24">
        <v>2.21773</v>
      </c>
      <c r="F24">
        <v>28.942900000000002</v>
      </c>
      <c r="I24" s="4">
        <v>38261</v>
      </c>
    </row>
    <row r="25" spans="1:16" x14ac:dyDescent="0.2">
      <c r="A25" t="s">
        <v>64</v>
      </c>
      <c r="B25">
        <v>39.857300000000002</v>
      </c>
      <c r="C25">
        <v>0.93993000000000004</v>
      </c>
      <c r="D25">
        <v>3869.71</v>
      </c>
      <c r="E25">
        <v>2.4163700000000001</v>
      </c>
      <c r="F25">
        <v>39.467599999999997</v>
      </c>
      <c r="I25" s="4">
        <v>38292</v>
      </c>
    </row>
    <row r="26" spans="1:16" x14ac:dyDescent="0.2">
      <c r="A26" t="s">
        <v>65</v>
      </c>
      <c r="B26">
        <v>28.6707</v>
      </c>
      <c r="C26">
        <v>1.07039</v>
      </c>
      <c r="D26">
        <v>3869.17</v>
      </c>
      <c r="E26">
        <v>1.8734999999999999</v>
      </c>
      <c r="F26">
        <v>63.148200000000003</v>
      </c>
      <c r="I26" s="4">
        <v>38443</v>
      </c>
    </row>
    <row r="27" spans="1:16" x14ac:dyDescent="0.2">
      <c r="A27" t="s">
        <v>66</v>
      </c>
      <c r="B27">
        <v>22.562799999999999</v>
      </c>
      <c r="C27">
        <v>0.99751999999999996</v>
      </c>
      <c r="D27">
        <v>3868.97</v>
      </c>
      <c r="E27">
        <v>1.6790400000000001</v>
      </c>
      <c r="F27">
        <v>21.049399999999999</v>
      </c>
      <c r="I27" s="4">
        <v>38504</v>
      </c>
    </row>
    <row r="28" spans="1:16" x14ac:dyDescent="0.2">
      <c r="A28" t="s">
        <v>138</v>
      </c>
      <c r="B28">
        <v>22.562799999999999</v>
      </c>
      <c r="C28">
        <v>0.99751999999999996</v>
      </c>
      <c r="D28">
        <v>3868.97</v>
      </c>
      <c r="E28">
        <v>1.6790400000000001</v>
      </c>
      <c r="F28">
        <v>21.049399999999999</v>
      </c>
      <c r="I28" s="4">
        <v>38534</v>
      </c>
    </row>
    <row r="29" spans="1:16" x14ac:dyDescent="0.2">
      <c r="A29" t="s">
        <v>67</v>
      </c>
      <c r="B29">
        <v>34.8797</v>
      </c>
      <c r="C29">
        <v>1.07595</v>
      </c>
      <c r="D29">
        <v>3869.41</v>
      </c>
      <c r="E29">
        <v>2.1186099999999999</v>
      </c>
      <c r="F29">
        <v>26.311699999999998</v>
      </c>
      <c r="I29" s="4">
        <v>38565</v>
      </c>
    </row>
    <row r="30" spans="1:16" x14ac:dyDescent="0.2">
      <c r="A30" t="s">
        <v>68</v>
      </c>
      <c r="B30">
        <v>35.340299999999999</v>
      </c>
      <c r="C30">
        <v>0.99965300000000001</v>
      </c>
      <c r="D30">
        <v>3869.51</v>
      </c>
      <c r="E30">
        <v>2.21773</v>
      </c>
      <c r="F30">
        <v>28.942900000000002</v>
      </c>
      <c r="I30" s="4">
        <v>38596</v>
      </c>
    </row>
    <row r="31" spans="1:16" x14ac:dyDescent="0.2">
      <c r="A31" t="s">
        <v>139</v>
      </c>
      <c r="B31">
        <v>3.10189</v>
      </c>
      <c r="C31">
        <v>0.54001500000000002</v>
      </c>
      <c r="D31">
        <v>3867.99</v>
      </c>
      <c r="E31">
        <v>0.693801</v>
      </c>
      <c r="F31">
        <v>13.155900000000001</v>
      </c>
      <c r="I31" s="4">
        <v>38808</v>
      </c>
    </row>
    <row r="32" spans="1:16" x14ac:dyDescent="0.2">
      <c r="A32" t="s">
        <v>150</v>
      </c>
      <c r="B32">
        <v>28.6707</v>
      </c>
      <c r="C32">
        <v>1.07039</v>
      </c>
      <c r="D32">
        <v>3869.17</v>
      </c>
      <c r="E32">
        <v>1.8734999999999999</v>
      </c>
      <c r="F32">
        <v>63.148200000000003</v>
      </c>
      <c r="I32" s="4">
        <v>38838</v>
      </c>
    </row>
    <row r="33" spans="1:9" x14ac:dyDescent="0.2">
      <c r="A33" t="s">
        <v>70</v>
      </c>
      <c r="B33">
        <v>39.784399999999998</v>
      </c>
      <c r="C33">
        <v>0.98326599999999997</v>
      </c>
      <c r="D33">
        <v>3869.66</v>
      </c>
      <c r="E33">
        <v>2.3666700000000001</v>
      </c>
      <c r="F33">
        <v>36.836399999999998</v>
      </c>
      <c r="I33" s="4">
        <v>38869</v>
      </c>
    </row>
    <row r="34" spans="1:9" x14ac:dyDescent="0.2">
      <c r="A34" t="s">
        <v>71</v>
      </c>
      <c r="B34">
        <v>39.857300000000002</v>
      </c>
      <c r="C34">
        <v>0.93993000000000004</v>
      </c>
      <c r="D34">
        <v>3869.71</v>
      </c>
      <c r="E34">
        <v>2.4163700000000001</v>
      </c>
      <c r="F34">
        <v>39.467599999999997</v>
      </c>
      <c r="I34" s="4">
        <v>38899</v>
      </c>
    </row>
    <row r="35" spans="1:9" x14ac:dyDescent="0.2">
      <c r="A35" t="s">
        <v>72</v>
      </c>
      <c r="B35">
        <v>35.340299999999999</v>
      </c>
      <c r="C35">
        <v>0.99965300000000001</v>
      </c>
      <c r="D35">
        <v>3869.51</v>
      </c>
      <c r="E35">
        <v>2.21773</v>
      </c>
      <c r="F35">
        <v>31.574100000000001</v>
      </c>
      <c r="I35" s="4">
        <v>38930</v>
      </c>
    </row>
    <row r="36" spans="1:9" x14ac:dyDescent="0.2">
      <c r="A36" t="s">
        <v>73</v>
      </c>
      <c r="B36">
        <v>34.8797</v>
      </c>
      <c r="C36">
        <v>1.07595</v>
      </c>
      <c r="D36">
        <v>3869.41</v>
      </c>
      <c r="E36">
        <v>2.1186099999999999</v>
      </c>
      <c r="F36">
        <v>23.680599999999998</v>
      </c>
      <c r="I36" s="4">
        <v>38961</v>
      </c>
    </row>
    <row r="37" spans="1:9" x14ac:dyDescent="0.2">
      <c r="A37" t="s">
        <v>75</v>
      </c>
      <c r="B37">
        <v>21.391999999999999</v>
      </c>
      <c r="C37">
        <v>0.73231500000000005</v>
      </c>
      <c r="D37">
        <v>3869.27</v>
      </c>
      <c r="E37">
        <v>1.97105</v>
      </c>
      <c r="F37">
        <v>57.885800000000003</v>
      </c>
      <c r="I37" s="4">
        <v>39114</v>
      </c>
    </row>
    <row r="38" spans="1:9" x14ac:dyDescent="0.2">
      <c r="A38" t="s">
        <v>151</v>
      </c>
      <c r="B38">
        <v>21.391999999999999</v>
      </c>
      <c r="C38">
        <v>0.73231500000000005</v>
      </c>
      <c r="D38">
        <v>3869.27</v>
      </c>
      <c r="E38">
        <v>1.97105</v>
      </c>
      <c r="F38">
        <v>55.2547</v>
      </c>
      <c r="I38" s="4">
        <v>39142</v>
      </c>
    </row>
    <row r="39" spans="1:9" x14ac:dyDescent="0.2">
      <c r="A39" t="s">
        <v>152</v>
      </c>
      <c r="B39">
        <v>32.201599999999999</v>
      </c>
      <c r="C39">
        <v>0.83249099999999998</v>
      </c>
      <c r="D39">
        <v>3869.61</v>
      </c>
      <c r="E39">
        <v>2.3170000000000002</v>
      </c>
      <c r="F39">
        <v>44.73</v>
      </c>
      <c r="I39" s="4">
        <v>39173</v>
      </c>
    </row>
    <row r="40" spans="1:9" x14ac:dyDescent="0.2">
      <c r="A40" t="s">
        <v>76</v>
      </c>
      <c r="B40">
        <v>22.562799999999999</v>
      </c>
      <c r="C40">
        <v>0.99751999999999996</v>
      </c>
      <c r="D40">
        <v>3868.97</v>
      </c>
      <c r="E40">
        <v>1.6790400000000001</v>
      </c>
      <c r="F40">
        <v>21.049399999999999</v>
      </c>
      <c r="I40" s="4">
        <v>39203</v>
      </c>
    </row>
    <row r="41" spans="1:9" x14ac:dyDescent="0.2">
      <c r="A41" t="s">
        <v>77</v>
      </c>
      <c r="B41">
        <v>32.201599999999999</v>
      </c>
      <c r="C41">
        <v>0.83249099999999998</v>
      </c>
      <c r="D41">
        <v>3869.61</v>
      </c>
      <c r="E41">
        <v>2.3170000000000002</v>
      </c>
      <c r="F41">
        <v>44.73</v>
      </c>
      <c r="I41" s="4">
        <v>39234</v>
      </c>
    </row>
    <row r="42" spans="1:9" x14ac:dyDescent="0.2">
      <c r="A42" t="s">
        <v>78</v>
      </c>
      <c r="B42">
        <v>34.8797</v>
      </c>
      <c r="C42">
        <v>1.07595</v>
      </c>
      <c r="D42">
        <v>3869.41</v>
      </c>
      <c r="E42">
        <v>2.1186099999999999</v>
      </c>
      <c r="F42">
        <v>26.311699999999998</v>
      </c>
      <c r="I42" s="4">
        <v>39264</v>
      </c>
    </row>
    <row r="43" spans="1:9" x14ac:dyDescent="0.2">
      <c r="A43" t="s">
        <v>79</v>
      </c>
      <c r="B43">
        <v>13.3825</v>
      </c>
      <c r="C43">
        <v>0.84698300000000004</v>
      </c>
      <c r="D43">
        <v>3868.62</v>
      </c>
      <c r="E43">
        <v>1.32735</v>
      </c>
      <c r="F43">
        <v>18.418199999999999</v>
      </c>
      <c r="I43" s="4">
        <v>39295</v>
      </c>
    </row>
    <row r="44" spans="1:9" x14ac:dyDescent="0.2">
      <c r="A44" t="s">
        <v>80</v>
      </c>
      <c r="B44">
        <v>34.8797</v>
      </c>
      <c r="C44">
        <v>1.07595</v>
      </c>
      <c r="D44">
        <v>3869.41</v>
      </c>
      <c r="E44">
        <v>2.1186099999999999</v>
      </c>
      <c r="F44">
        <v>23.680599999999998</v>
      </c>
      <c r="I44" s="4">
        <v>39326</v>
      </c>
    </row>
    <row r="45" spans="1:9" x14ac:dyDescent="0.2">
      <c r="A45" t="s">
        <v>81</v>
      </c>
      <c r="B45">
        <v>13.3825</v>
      </c>
      <c r="C45">
        <v>0.84698300000000004</v>
      </c>
      <c r="D45">
        <v>3868.62</v>
      </c>
      <c r="E45">
        <v>1.32735</v>
      </c>
      <c r="F45">
        <v>18.418199999999999</v>
      </c>
      <c r="I45" s="4">
        <v>39356</v>
      </c>
    </row>
    <row r="46" spans="1:9" x14ac:dyDescent="0.2">
      <c r="A46" t="s">
        <v>82</v>
      </c>
      <c r="B46">
        <v>35.340299999999999</v>
      </c>
      <c r="C46">
        <v>0.99965300000000001</v>
      </c>
      <c r="D46">
        <v>3869.51</v>
      </c>
      <c r="E46">
        <v>2.21773</v>
      </c>
      <c r="F46">
        <v>28.942900000000002</v>
      </c>
      <c r="I46" s="4">
        <v>39387</v>
      </c>
    </row>
    <row r="47" spans="1:9" x14ac:dyDescent="0.2">
      <c r="A47" t="s">
        <v>153</v>
      </c>
      <c r="B47">
        <v>21.391999999999999</v>
      </c>
      <c r="C47">
        <v>0.73231500000000005</v>
      </c>
      <c r="D47">
        <v>3869.27</v>
      </c>
      <c r="E47">
        <v>1.97105</v>
      </c>
      <c r="F47">
        <v>60.517000000000003</v>
      </c>
      <c r="I47" s="4">
        <v>39417</v>
      </c>
    </row>
    <row r="48" spans="1:9" x14ac:dyDescent="0.2">
      <c r="A48" t="s">
        <v>83</v>
      </c>
      <c r="B48">
        <v>35.340299999999999</v>
      </c>
      <c r="C48">
        <v>0.99965300000000001</v>
      </c>
      <c r="D48">
        <v>3869.51</v>
      </c>
      <c r="E48">
        <v>2.21773</v>
      </c>
      <c r="F48">
        <v>28.942900000000002</v>
      </c>
      <c r="I48" s="4">
        <v>39508</v>
      </c>
    </row>
    <row r="49" spans="1:9" x14ac:dyDescent="0.2">
      <c r="A49" t="s">
        <v>84</v>
      </c>
      <c r="B49">
        <v>34.7866</v>
      </c>
      <c r="C49">
        <v>1.1151500000000001</v>
      </c>
      <c r="D49">
        <v>3869.36</v>
      </c>
      <c r="E49">
        <v>2.0691799999999998</v>
      </c>
      <c r="F49">
        <v>47.3611</v>
      </c>
      <c r="I49" s="4">
        <v>39600</v>
      </c>
    </row>
    <row r="50" spans="1:9" x14ac:dyDescent="0.2">
      <c r="A50" t="s">
        <v>85</v>
      </c>
      <c r="B50">
        <v>39.857300000000002</v>
      </c>
      <c r="C50">
        <v>0.93993000000000004</v>
      </c>
      <c r="D50">
        <v>3869.71</v>
      </c>
      <c r="E50">
        <v>2.4163700000000001</v>
      </c>
      <c r="F50">
        <v>42.098799999999997</v>
      </c>
      <c r="I50" s="4">
        <v>39630</v>
      </c>
    </row>
    <row r="51" spans="1:9" x14ac:dyDescent="0.2">
      <c r="A51" t="s">
        <v>87</v>
      </c>
      <c r="B51">
        <v>39.857300000000002</v>
      </c>
      <c r="C51">
        <v>0.93993000000000004</v>
      </c>
      <c r="D51">
        <v>3869.71</v>
      </c>
      <c r="E51">
        <v>2.4163700000000001</v>
      </c>
      <c r="F51">
        <v>39.467599999999997</v>
      </c>
      <c r="I51" s="4">
        <v>39722</v>
      </c>
    </row>
    <row r="52" spans="1:9" x14ac:dyDescent="0.2">
      <c r="A52" t="s">
        <v>154</v>
      </c>
      <c r="B52">
        <v>28.6707</v>
      </c>
      <c r="C52">
        <v>1.07039</v>
      </c>
      <c r="D52">
        <v>3869.17</v>
      </c>
      <c r="E52">
        <v>1.8734999999999999</v>
      </c>
      <c r="F52">
        <v>63.148200000000003</v>
      </c>
      <c r="I52" s="4">
        <v>39783</v>
      </c>
    </row>
    <row r="53" spans="1:9" x14ac:dyDescent="0.2">
      <c r="A53" t="s">
        <v>90</v>
      </c>
      <c r="B53">
        <v>32.201599999999999</v>
      </c>
      <c r="C53">
        <v>0.83249099999999998</v>
      </c>
      <c r="D53">
        <v>3869.61</v>
      </c>
      <c r="E53">
        <v>2.3170000000000002</v>
      </c>
      <c r="F53">
        <v>44.73</v>
      </c>
      <c r="I53" s="4">
        <v>39934</v>
      </c>
    </row>
    <row r="54" spans="1:9" x14ac:dyDescent="0.2">
      <c r="A54" t="s">
        <v>91</v>
      </c>
      <c r="B54">
        <v>37.014099999999999</v>
      </c>
      <c r="C54">
        <v>1.00084</v>
      </c>
      <c r="D54">
        <v>3869.56</v>
      </c>
      <c r="E54">
        <v>2.2673700000000001</v>
      </c>
      <c r="F54">
        <v>34.205300000000001</v>
      </c>
      <c r="I54" s="4">
        <v>39995</v>
      </c>
    </row>
    <row r="55" spans="1:9" x14ac:dyDescent="0.2">
      <c r="A55" t="s">
        <v>92</v>
      </c>
      <c r="B55">
        <v>34.8797</v>
      </c>
      <c r="C55">
        <v>1.07595</v>
      </c>
      <c r="D55">
        <v>3869.41</v>
      </c>
      <c r="E55">
        <v>2.1186099999999999</v>
      </c>
      <c r="F55">
        <v>23.680599999999998</v>
      </c>
      <c r="I55" s="4">
        <v>40026</v>
      </c>
    </row>
    <row r="56" spans="1:9" x14ac:dyDescent="0.2">
      <c r="A56" t="s">
        <v>93</v>
      </c>
      <c r="B56">
        <v>35.340299999999999</v>
      </c>
      <c r="C56">
        <v>0.99965300000000001</v>
      </c>
      <c r="D56">
        <v>3869.51</v>
      </c>
      <c r="E56">
        <v>2.21773</v>
      </c>
      <c r="F56">
        <v>31.574100000000001</v>
      </c>
      <c r="I56" s="4">
        <v>40057</v>
      </c>
    </row>
    <row r="57" spans="1:9" x14ac:dyDescent="0.2">
      <c r="A57" t="s">
        <v>94</v>
      </c>
      <c r="B57">
        <v>39.784399999999998</v>
      </c>
      <c r="C57">
        <v>0.98326599999999997</v>
      </c>
      <c r="D57">
        <v>3869.66</v>
      </c>
      <c r="E57">
        <v>2.3666700000000001</v>
      </c>
      <c r="F57">
        <v>36.836399999999998</v>
      </c>
      <c r="I57" s="4">
        <v>40087</v>
      </c>
    </row>
    <row r="58" spans="1:9" x14ac:dyDescent="0.2">
      <c r="A58" t="s">
        <v>95</v>
      </c>
      <c r="B58">
        <v>21.391999999999999</v>
      </c>
      <c r="C58">
        <v>0.73231500000000005</v>
      </c>
      <c r="D58">
        <v>3869.27</v>
      </c>
      <c r="E58">
        <v>1.97105</v>
      </c>
      <c r="F58">
        <v>55.2547</v>
      </c>
      <c r="I58" s="4">
        <v>40299</v>
      </c>
    </row>
    <row r="59" spans="1:9" x14ac:dyDescent="0.2">
      <c r="A59" t="s">
        <v>96</v>
      </c>
      <c r="B59">
        <v>35.340299999999999</v>
      </c>
      <c r="C59">
        <v>0.99965300000000001</v>
      </c>
      <c r="D59">
        <v>3869.51</v>
      </c>
      <c r="E59">
        <v>2.21773</v>
      </c>
      <c r="F59">
        <v>28.942900000000002</v>
      </c>
      <c r="I59" s="4">
        <v>40330</v>
      </c>
    </row>
    <row r="60" spans="1:9" x14ac:dyDescent="0.2">
      <c r="A60" t="s">
        <v>97</v>
      </c>
      <c r="B60">
        <v>37.014099999999999</v>
      </c>
      <c r="C60">
        <v>1.00084</v>
      </c>
      <c r="D60">
        <v>3869.56</v>
      </c>
      <c r="E60">
        <v>2.2673700000000001</v>
      </c>
      <c r="F60">
        <v>34.205300000000001</v>
      </c>
      <c r="I60" s="4">
        <v>40391</v>
      </c>
    </row>
    <row r="61" spans="1:9" x14ac:dyDescent="0.2">
      <c r="A61" t="s">
        <v>98</v>
      </c>
      <c r="B61">
        <v>34.8797</v>
      </c>
      <c r="C61">
        <v>1.07595</v>
      </c>
      <c r="D61">
        <v>3869.41</v>
      </c>
      <c r="E61">
        <v>2.1186099999999999</v>
      </c>
      <c r="F61">
        <v>26.311699999999998</v>
      </c>
      <c r="I61" s="4">
        <v>40452</v>
      </c>
    </row>
    <row r="62" spans="1:9" x14ac:dyDescent="0.2">
      <c r="A62" t="s">
        <v>99</v>
      </c>
      <c r="B62">
        <v>34.7866</v>
      </c>
      <c r="C62">
        <v>1.1151500000000001</v>
      </c>
      <c r="D62">
        <v>3869.36</v>
      </c>
      <c r="E62">
        <v>2.0691799999999998</v>
      </c>
      <c r="F62">
        <v>49.9923</v>
      </c>
      <c r="I62" s="4">
        <v>40483</v>
      </c>
    </row>
    <row r="63" spans="1:9" x14ac:dyDescent="0.2">
      <c r="A63" t="s">
        <v>100</v>
      </c>
      <c r="B63">
        <v>34.7866</v>
      </c>
      <c r="C63">
        <v>1.1151500000000001</v>
      </c>
      <c r="D63">
        <v>3869.36</v>
      </c>
      <c r="E63">
        <v>2.0691799999999998</v>
      </c>
      <c r="F63">
        <v>49.9923</v>
      </c>
      <c r="I63" s="4">
        <v>40513</v>
      </c>
    </row>
    <row r="64" spans="1:9" x14ac:dyDescent="0.2">
      <c r="A64" t="s">
        <v>140</v>
      </c>
      <c r="B64">
        <v>39.784399999999998</v>
      </c>
      <c r="C64">
        <v>0.98326599999999997</v>
      </c>
      <c r="D64">
        <v>3869.66</v>
      </c>
      <c r="E64">
        <v>2.3666700000000001</v>
      </c>
      <c r="F64">
        <v>36.836399999999998</v>
      </c>
      <c r="I64" s="4">
        <v>40695</v>
      </c>
    </row>
    <row r="65" spans="1:9" x14ac:dyDescent="0.2">
      <c r="A65" t="s">
        <v>102</v>
      </c>
      <c r="B65">
        <v>32.201599999999999</v>
      </c>
      <c r="C65">
        <v>0.83249099999999998</v>
      </c>
      <c r="D65">
        <v>3869.61</v>
      </c>
      <c r="E65">
        <v>2.3170000000000002</v>
      </c>
      <c r="F65">
        <v>44.73</v>
      </c>
      <c r="I65" s="4">
        <v>40756</v>
      </c>
    </row>
    <row r="66" spans="1:9" x14ac:dyDescent="0.2">
      <c r="A66" t="s">
        <v>141</v>
      </c>
      <c r="B66">
        <v>21.391999999999999</v>
      </c>
      <c r="C66">
        <v>0.73231500000000005</v>
      </c>
      <c r="D66">
        <v>3869.27</v>
      </c>
      <c r="E66">
        <v>1.97105</v>
      </c>
      <c r="F66">
        <v>60.517000000000003</v>
      </c>
      <c r="I66" s="4">
        <v>40787</v>
      </c>
    </row>
    <row r="67" spans="1:9" x14ac:dyDescent="0.2">
      <c r="A67" t="s">
        <v>103</v>
      </c>
      <c r="B67">
        <v>34.8797</v>
      </c>
      <c r="C67">
        <v>1.07595</v>
      </c>
      <c r="D67">
        <v>3869.41</v>
      </c>
      <c r="E67">
        <v>2.1186099999999999</v>
      </c>
      <c r="F67">
        <v>26.311699999999998</v>
      </c>
      <c r="I67" s="4">
        <v>40817</v>
      </c>
    </row>
    <row r="68" spans="1:9" x14ac:dyDescent="0.2">
      <c r="A68" t="s">
        <v>104</v>
      </c>
      <c r="B68">
        <v>39.857300000000002</v>
      </c>
      <c r="C68">
        <v>0.93993000000000004</v>
      </c>
      <c r="D68">
        <v>3869.71</v>
      </c>
      <c r="E68">
        <v>2.4163700000000001</v>
      </c>
      <c r="F68">
        <v>42.098799999999997</v>
      </c>
      <c r="I68" s="4">
        <v>40848</v>
      </c>
    </row>
    <row r="69" spans="1:9" x14ac:dyDescent="0.2">
      <c r="A69" t="s">
        <v>105</v>
      </c>
      <c r="B69">
        <v>28.6707</v>
      </c>
      <c r="C69">
        <v>1.07039</v>
      </c>
      <c r="D69">
        <v>3869.17</v>
      </c>
      <c r="E69">
        <v>1.8734999999999999</v>
      </c>
      <c r="F69">
        <v>63.148200000000003</v>
      </c>
      <c r="I69" s="4">
        <v>41000</v>
      </c>
    </row>
    <row r="70" spans="1:9" x14ac:dyDescent="0.2">
      <c r="A70" t="s">
        <v>106</v>
      </c>
      <c r="B70">
        <v>35.340299999999999</v>
      </c>
      <c r="C70">
        <v>0.99965300000000001</v>
      </c>
      <c r="D70">
        <v>3869.51</v>
      </c>
      <c r="E70">
        <v>2.21773</v>
      </c>
      <c r="F70">
        <v>28.942900000000002</v>
      </c>
      <c r="I70" s="4">
        <v>41091</v>
      </c>
    </row>
    <row r="71" spans="1:9" x14ac:dyDescent="0.2">
      <c r="A71" t="s">
        <v>142</v>
      </c>
      <c r="B71">
        <v>34.8797</v>
      </c>
      <c r="C71">
        <v>1.07595</v>
      </c>
      <c r="D71">
        <v>3869.41</v>
      </c>
      <c r="E71">
        <v>2.1186099999999999</v>
      </c>
      <c r="F71">
        <v>26.311699999999998</v>
      </c>
      <c r="I71" s="4">
        <v>41122</v>
      </c>
    </row>
    <row r="72" spans="1:9" x14ac:dyDescent="0.2">
      <c r="A72" t="s">
        <v>107</v>
      </c>
      <c r="B72">
        <v>34.8797</v>
      </c>
      <c r="C72">
        <v>1.07595</v>
      </c>
      <c r="D72">
        <v>3869.41</v>
      </c>
      <c r="E72">
        <v>2.1186099999999999</v>
      </c>
      <c r="F72">
        <v>26.311699999999998</v>
      </c>
      <c r="I72" s="4">
        <v>41153</v>
      </c>
    </row>
    <row r="73" spans="1:9" x14ac:dyDescent="0.2">
      <c r="A73" t="s">
        <v>108</v>
      </c>
      <c r="B73">
        <v>5.3039899999999997E-3</v>
      </c>
      <c r="C73">
        <v>8.0713499999999994E-2</v>
      </c>
      <c r="D73">
        <v>3867.33</v>
      </c>
      <c r="E73">
        <v>3.8726999999999998E-2</v>
      </c>
      <c r="F73">
        <v>2.63117</v>
      </c>
      <c r="I73" s="4">
        <v>41183</v>
      </c>
    </row>
    <row r="74" spans="1:9" x14ac:dyDescent="0.2">
      <c r="A74" t="s">
        <v>109</v>
      </c>
      <c r="B74">
        <v>34.7866</v>
      </c>
      <c r="C74">
        <v>1.1151500000000001</v>
      </c>
      <c r="D74">
        <v>3869.36</v>
      </c>
      <c r="E74">
        <v>2.0691799999999998</v>
      </c>
      <c r="F74">
        <v>49.9923</v>
      </c>
      <c r="I74" s="4">
        <v>41214</v>
      </c>
    </row>
    <row r="75" spans="1:9" x14ac:dyDescent="0.2">
      <c r="A75" t="s">
        <v>110</v>
      </c>
      <c r="B75">
        <v>37.014099999999999</v>
      </c>
      <c r="C75">
        <v>1.00084</v>
      </c>
      <c r="D75">
        <v>3869.56</v>
      </c>
      <c r="E75">
        <v>2.2673700000000001</v>
      </c>
      <c r="F75">
        <v>34.205300000000001</v>
      </c>
      <c r="I75" s="4">
        <v>41244</v>
      </c>
    </row>
    <row r="76" spans="1:9" x14ac:dyDescent="0.2">
      <c r="A76" t="s">
        <v>111</v>
      </c>
      <c r="B76">
        <v>34.8797</v>
      </c>
      <c r="C76">
        <v>1.07595</v>
      </c>
      <c r="D76">
        <v>3869.41</v>
      </c>
      <c r="E76">
        <v>2.1186099999999999</v>
      </c>
      <c r="F76">
        <v>23.680599999999998</v>
      </c>
      <c r="I76" s="4">
        <v>41365</v>
      </c>
    </row>
    <row r="77" spans="1:9" x14ac:dyDescent="0.2">
      <c r="A77" t="s">
        <v>112</v>
      </c>
      <c r="B77">
        <v>21.391999999999999</v>
      </c>
      <c r="C77">
        <v>0.73231500000000005</v>
      </c>
      <c r="D77">
        <v>3869.27</v>
      </c>
      <c r="E77">
        <v>1.97105</v>
      </c>
      <c r="F77">
        <v>60.517000000000003</v>
      </c>
      <c r="I77" s="4">
        <v>41395</v>
      </c>
    </row>
    <row r="78" spans="1:9" x14ac:dyDescent="0.2">
      <c r="A78" t="s">
        <v>7</v>
      </c>
      <c r="B78">
        <v>3.10189</v>
      </c>
      <c r="C78">
        <v>0.54001500000000002</v>
      </c>
      <c r="D78">
        <v>3867.99</v>
      </c>
      <c r="E78">
        <v>0.693801</v>
      </c>
      <c r="F78">
        <v>13.155900000000001</v>
      </c>
      <c r="I78" s="4">
        <v>41426</v>
      </c>
    </row>
    <row r="79" spans="1:9" x14ac:dyDescent="0.2">
      <c r="A79" t="s">
        <v>8</v>
      </c>
      <c r="B79">
        <v>22.562799999999999</v>
      </c>
      <c r="C79">
        <v>0.99751999999999996</v>
      </c>
      <c r="D79">
        <v>3868.97</v>
      </c>
      <c r="E79">
        <v>1.6790400000000001</v>
      </c>
      <c r="F79">
        <v>21.049399999999999</v>
      </c>
      <c r="I79" s="4">
        <v>41456</v>
      </c>
    </row>
    <row r="80" spans="1:9" x14ac:dyDescent="0.2">
      <c r="A80" t="s">
        <v>9</v>
      </c>
      <c r="B80">
        <v>3.10189</v>
      </c>
      <c r="C80">
        <v>0.54001500000000002</v>
      </c>
      <c r="D80">
        <v>3867.99</v>
      </c>
      <c r="E80">
        <v>0.693801</v>
      </c>
      <c r="F80">
        <v>13.155900000000001</v>
      </c>
      <c r="I80" s="4">
        <v>41548</v>
      </c>
    </row>
    <row r="81" spans="1:9" x14ac:dyDescent="0.2">
      <c r="A81" t="s">
        <v>114</v>
      </c>
      <c r="B81">
        <v>32.201599999999999</v>
      </c>
      <c r="C81">
        <v>0.83249099999999998</v>
      </c>
      <c r="D81">
        <v>3869.61</v>
      </c>
      <c r="E81">
        <v>2.3170000000000002</v>
      </c>
      <c r="F81">
        <v>44.73</v>
      </c>
      <c r="I81" s="4">
        <v>41730</v>
      </c>
    </row>
    <row r="82" spans="1:9" x14ac:dyDescent="0.2">
      <c r="A82" t="s">
        <v>115</v>
      </c>
      <c r="B82">
        <v>6.4202300000000001</v>
      </c>
      <c r="C82">
        <v>0.67199900000000001</v>
      </c>
      <c r="D82">
        <v>3868.26</v>
      </c>
      <c r="E82">
        <v>0.96184400000000003</v>
      </c>
      <c r="F82">
        <v>15.787000000000001</v>
      </c>
      <c r="I82" s="4">
        <v>41791</v>
      </c>
    </row>
    <row r="83" spans="1:9" x14ac:dyDescent="0.2">
      <c r="A83" t="s">
        <v>144</v>
      </c>
      <c r="B83">
        <v>37.014099999999999</v>
      </c>
      <c r="C83">
        <v>1.00084</v>
      </c>
      <c r="D83">
        <v>3869.56</v>
      </c>
      <c r="E83">
        <v>2.2673700000000001</v>
      </c>
      <c r="F83">
        <v>34.205300000000001</v>
      </c>
      <c r="I83" s="4">
        <v>41821</v>
      </c>
    </row>
    <row r="84" spans="1:9" x14ac:dyDescent="0.2">
      <c r="A84" t="s">
        <v>116</v>
      </c>
      <c r="B84">
        <v>3.10189</v>
      </c>
      <c r="C84">
        <v>0.54001500000000002</v>
      </c>
      <c r="D84">
        <v>3867.99</v>
      </c>
      <c r="E84">
        <v>0.693801</v>
      </c>
      <c r="F84">
        <v>13.155900000000001</v>
      </c>
      <c r="I84" s="4">
        <v>41852</v>
      </c>
    </row>
    <row r="85" spans="1:9" x14ac:dyDescent="0.2">
      <c r="A85" t="s">
        <v>13</v>
      </c>
      <c r="B85">
        <v>34.8797</v>
      </c>
      <c r="C85">
        <v>1.07595</v>
      </c>
      <c r="D85">
        <v>3869.41</v>
      </c>
      <c r="E85">
        <v>2.1186099999999999</v>
      </c>
      <c r="F85">
        <v>23.680599999999998</v>
      </c>
      <c r="I85" s="4">
        <v>42064</v>
      </c>
    </row>
    <row r="86" spans="1:9" x14ac:dyDescent="0.2">
      <c r="A86" t="s">
        <v>119</v>
      </c>
      <c r="B86">
        <v>39.857300000000002</v>
      </c>
      <c r="C86">
        <v>0.93993000000000004</v>
      </c>
      <c r="D86">
        <v>3869.71</v>
      </c>
      <c r="E86">
        <v>2.4163700000000001</v>
      </c>
      <c r="F86">
        <v>42.098799999999997</v>
      </c>
      <c r="I86" s="4">
        <v>42095</v>
      </c>
    </row>
    <row r="87" spans="1:9" x14ac:dyDescent="0.2">
      <c r="A87" t="s">
        <v>14</v>
      </c>
      <c r="B87">
        <v>34.8797</v>
      </c>
      <c r="C87">
        <v>1.07595</v>
      </c>
      <c r="D87">
        <v>3869.41</v>
      </c>
      <c r="E87">
        <v>2.1186099999999999</v>
      </c>
      <c r="F87">
        <v>26.311699999999998</v>
      </c>
      <c r="I87" s="4">
        <v>42125</v>
      </c>
    </row>
    <row r="88" spans="1:9" x14ac:dyDescent="0.2">
      <c r="A88" t="s">
        <v>120</v>
      </c>
      <c r="B88">
        <v>27.179099999999998</v>
      </c>
      <c r="C88">
        <v>0.63198399999999999</v>
      </c>
      <c r="D88">
        <v>3869.46</v>
      </c>
      <c r="E88">
        <v>2.1681499999999998</v>
      </c>
      <c r="F88">
        <v>84.197599999999994</v>
      </c>
      <c r="I88" s="4">
        <v>42156</v>
      </c>
    </row>
    <row r="89" spans="1:9" x14ac:dyDescent="0.2">
      <c r="A89" t="s">
        <v>15</v>
      </c>
      <c r="B89">
        <v>37.014099999999999</v>
      </c>
      <c r="C89">
        <v>1.00084</v>
      </c>
      <c r="D89">
        <v>3869.56</v>
      </c>
      <c r="E89">
        <v>2.2673700000000001</v>
      </c>
      <c r="F89">
        <v>34.205300000000001</v>
      </c>
      <c r="I89" s="4">
        <v>42186</v>
      </c>
    </row>
    <row r="90" spans="1:9" x14ac:dyDescent="0.2">
      <c r="A90" t="s">
        <v>16</v>
      </c>
      <c r="B90">
        <v>39.784399999999998</v>
      </c>
      <c r="C90">
        <v>0.98326599999999997</v>
      </c>
      <c r="D90">
        <v>3869.66</v>
      </c>
      <c r="E90">
        <v>2.3666700000000001</v>
      </c>
      <c r="F90">
        <v>36.836399999999998</v>
      </c>
      <c r="I90" s="4">
        <v>42217</v>
      </c>
    </row>
    <row r="91" spans="1:9" x14ac:dyDescent="0.2">
      <c r="A91" t="s">
        <v>17</v>
      </c>
      <c r="B91">
        <v>5.3039899999999997E-3</v>
      </c>
      <c r="C91">
        <v>8.0713499999999994E-2</v>
      </c>
      <c r="D91">
        <v>3867.33</v>
      </c>
      <c r="E91">
        <v>3.8726999999999998E-2</v>
      </c>
      <c r="F91">
        <v>2.63117</v>
      </c>
      <c r="I91" s="4">
        <v>42248</v>
      </c>
    </row>
    <row r="92" spans="1:9" x14ac:dyDescent="0.2">
      <c r="A92" t="s">
        <v>19</v>
      </c>
      <c r="B92">
        <v>39.857300000000002</v>
      </c>
      <c r="C92">
        <v>0.93993000000000004</v>
      </c>
      <c r="D92">
        <v>3869.71</v>
      </c>
      <c r="E92">
        <v>2.4163700000000001</v>
      </c>
      <c r="F92">
        <v>39.467599999999997</v>
      </c>
      <c r="I92" s="4">
        <v>42461</v>
      </c>
    </row>
    <row r="93" spans="1:9" x14ac:dyDescent="0.2">
      <c r="A93" t="s">
        <v>20</v>
      </c>
      <c r="B93">
        <v>0.44647399999999998</v>
      </c>
      <c r="C93">
        <v>0.30673800000000001</v>
      </c>
      <c r="D93">
        <v>3867.58</v>
      </c>
      <c r="E93">
        <v>0.28961399999999998</v>
      </c>
      <c r="F93">
        <v>7.8935199999999996</v>
      </c>
      <c r="I93" s="4">
        <v>42491</v>
      </c>
    </row>
    <row r="94" spans="1:9" x14ac:dyDescent="0.2">
      <c r="A94" t="s">
        <v>122</v>
      </c>
      <c r="B94">
        <v>5.3039899999999997E-3</v>
      </c>
      <c r="C94">
        <v>8.0713499999999994E-2</v>
      </c>
      <c r="D94">
        <v>3867.33</v>
      </c>
      <c r="E94">
        <v>3.8726999999999998E-2</v>
      </c>
      <c r="F94">
        <v>2.63117</v>
      </c>
      <c r="I94" s="4">
        <v>42522</v>
      </c>
    </row>
    <row r="95" spans="1:9" x14ac:dyDescent="0.2">
      <c r="A95" t="s">
        <v>21</v>
      </c>
      <c r="B95">
        <v>3.10189</v>
      </c>
      <c r="C95">
        <v>0.54001500000000002</v>
      </c>
      <c r="D95">
        <v>3867.99</v>
      </c>
      <c r="E95">
        <v>0.693801</v>
      </c>
      <c r="F95">
        <v>13.155900000000001</v>
      </c>
      <c r="I95" s="4">
        <v>42552</v>
      </c>
    </row>
    <row r="96" spans="1:9" x14ac:dyDescent="0.2">
      <c r="A96" t="s">
        <v>22</v>
      </c>
      <c r="B96">
        <v>6.4202300000000001</v>
      </c>
      <c r="C96">
        <v>0.67199900000000001</v>
      </c>
      <c r="D96">
        <v>3868.26</v>
      </c>
      <c r="E96">
        <v>0.96184400000000003</v>
      </c>
      <c r="F96">
        <v>15.787000000000001</v>
      </c>
      <c r="I96" s="4">
        <v>42614</v>
      </c>
    </row>
    <row r="97" spans="1:9" x14ac:dyDescent="0.2">
      <c r="A97" t="s">
        <v>124</v>
      </c>
      <c r="B97">
        <v>6.4202300000000001</v>
      </c>
      <c r="C97">
        <v>0.67199900000000001</v>
      </c>
      <c r="D97">
        <v>3868.26</v>
      </c>
      <c r="E97">
        <v>0.96184400000000003</v>
      </c>
      <c r="F97">
        <v>15.787000000000001</v>
      </c>
      <c r="I97" s="4">
        <v>42644</v>
      </c>
    </row>
    <row r="98" spans="1:9" x14ac:dyDescent="0.2">
      <c r="A98" t="s">
        <v>125</v>
      </c>
      <c r="B98">
        <v>21.391999999999999</v>
      </c>
      <c r="C98">
        <v>0.73231500000000005</v>
      </c>
      <c r="D98">
        <v>3869.27</v>
      </c>
      <c r="E98">
        <v>1.97105</v>
      </c>
      <c r="F98">
        <v>60.517000000000003</v>
      </c>
      <c r="I98" s="4">
        <v>42675</v>
      </c>
    </row>
    <row r="99" spans="1:9" x14ac:dyDescent="0.2">
      <c r="A99" t="s">
        <v>126</v>
      </c>
      <c r="B99">
        <v>22.562799999999999</v>
      </c>
      <c r="C99">
        <v>0.99751999999999996</v>
      </c>
      <c r="D99">
        <v>3868.97</v>
      </c>
      <c r="E99">
        <v>1.6790400000000001</v>
      </c>
      <c r="F99">
        <v>21.049399999999999</v>
      </c>
      <c r="I99" s="4">
        <v>42856</v>
      </c>
    </row>
    <row r="100" spans="1:9" x14ac:dyDescent="0.2">
      <c r="A100" t="s">
        <v>23</v>
      </c>
      <c r="B100">
        <v>35.340299999999999</v>
      </c>
      <c r="C100">
        <v>0.99965300000000001</v>
      </c>
      <c r="D100">
        <v>3869.51</v>
      </c>
      <c r="E100">
        <v>2.21773</v>
      </c>
      <c r="F100">
        <v>28.942900000000002</v>
      </c>
      <c r="I100" s="4">
        <v>42979</v>
      </c>
    </row>
    <row r="101" spans="1:9" x14ac:dyDescent="0.2">
      <c r="A101" t="s">
        <v>146</v>
      </c>
      <c r="B101">
        <v>32.201599999999999</v>
      </c>
      <c r="C101">
        <v>0.83249099999999998</v>
      </c>
      <c r="D101">
        <v>3869.61</v>
      </c>
      <c r="E101">
        <v>2.3170000000000002</v>
      </c>
      <c r="F101">
        <v>44.73</v>
      </c>
      <c r="I101" s="4">
        <v>43009</v>
      </c>
    </row>
    <row r="102" spans="1:9" x14ac:dyDescent="0.2">
      <c r="A102" t="s">
        <v>24</v>
      </c>
      <c r="B102">
        <v>34.7866</v>
      </c>
      <c r="C102">
        <v>1.1151500000000001</v>
      </c>
      <c r="D102">
        <v>3869.36</v>
      </c>
      <c r="E102">
        <v>2.0691799999999998</v>
      </c>
      <c r="F102">
        <v>47.3611</v>
      </c>
      <c r="I102" s="4">
        <v>43040</v>
      </c>
    </row>
    <row r="103" spans="1:9" x14ac:dyDescent="0.2">
      <c r="A103" t="s">
        <v>25</v>
      </c>
      <c r="B103">
        <v>34.8797</v>
      </c>
      <c r="C103">
        <v>1.07595</v>
      </c>
      <c r="D103">
        <v>3869.41</v>
      </c>
      <c r="E103">
        <v>2.1186099999999999</v>
      </c>
      <c r="F103">
        <v>26.311699999999998</v>
      </c>
      <c r="I103" s="4">
        <v>43132</v>
      </c>
    </row>
    <row r="104" spans="1:9" x14ac:dyDescent="0.2">
      <c r="A104" t="s">
        <v>26</v>
      </c>
      <c r="B104">
        <v>1.3670100000000001</v>
      </c>
      <c r="C104">
        <v>0.42634899999999998</v>
      </c>
      <c r="D104">
        <v>3867.78</v>
      </c>
      <c r="E104">
        <v>0.48044900000000001</v>
      </c>
      <c r="F104">
        <v>10.524699999999999</v>
      </c>
      <c r="I104" s="4">
        <v>43191</v>
      </c>
    </row>
    <row r="105" spans="1:9" x14ac:dyDescent="0.2">
      <c r="A105" t="s">
        <v>127</v>
      </c>
      <c r="B105">
        <v>13.3825</v>
      </c>
      <c r="C105">
        <v>0.84698300000000004</v>
      </c>
      <c r="D105">
        <v>3868.62</v>
      </c>
      <c r="E105">
        <v>1.32735</v>
      </c>
      <c r="F105">
        <v>18.418199999999999</v>
      </c>
      <c r="I105" s="4">
        <v>43252</v>
      </c>
    </row>
    <row r="106" spans="1:9" x14ac:dyDescent="0.2">
      <c r="A106" t="s">
        <v>29</v>
      </c>
      <c r="B106">
        <v>39.784399999999998</v>
      </c>
      <c r="C106">
        <v>0.98326599999999997</v>
      </c>
      <c r="D106">
        <v>3869.66</v>
      </c>
      <c r="E106">
        <v>2.3666700000000001</v>
      </c>
      <c r="F106">
        <v>36.836399999999998</v>
      </c>
      <c r="I106" s="4">
        <v>43313</v>
      </c>
    </row>
    <row r="107" spans="1:9" x14ac:dyDescent="0.2">
      <c r="A107" t="s">
        <v>30</v>
      </c>
      <c r="B107">
        <v>39.857300000000002</v>
      </c>
      <c r="C107">
        <v>0.93993000000000004</v>
      </c>
      <c r="D107">
        <v>3869.71</v>
      </c>
      <c r="E107">
        <v>2.4163700000000001</v>
      </c>
      <c r="F107">
        <v>42.098799999999997</v>
      </c>
      <c r="I107" s="4">
        <v>43344</v>
      </c>
    </row>
    <row r="108" spans="1:9" x14ac:dyDescent="0.2">
      <c r="A108" t="s">
        <v>128</v>
      </c>
      <c r="B108">
        <v>37.014099999999999</v>
      </c>
      <c r="C108">
        <v>1.00084</v>
      </c>
      <c r="D108">
        <v>3869.56</v>
      </c>
      <c r="E108">
        <v>2.2673700000000001</v>
      </c>
      <c r="F108">
        <v>34.205300000000001</v>
      </c>
      <c r="I108" s="4">
        <v>43374</v>
      </c>
    </row>
    <row r="109" spans="1:9" x14ac:dyDescent="0.2">
      <c r="A109" t="s">
        <v>129</v>
      </c>
      <c r="B109">
        <v>22.562799999999999</v>
      </c>
      <c r="C109">
        <v>0.99751999999999996</v>
      </c>
      <c r="D109">
        <v>3868.97</v>
      </c>
      <c r="E109">
        <v>1.6790400000000001</v>
      </c>
      <c r="F109">
        <v>21.049399999999999</v>
      </c>
      <c r="I109" s="4">
        <v>43466</v>
      </c>
    </row>
    <row r="110" spans="1:9" x14ac:dyDescent="0.2">
      <c r="A110" t="s">
        <v>131</v>
      </c>
      <c r="B110">
        <v>28.6707</v>
      </c>
      <c r="C110">
        <v>1.07039</v>
      </c>
      <c r="D110">
        <v>3869.17</v>
      </c>
      <c r="E110">
        <v>1.8734999999999999</v>
      </c>
      <c r="F110">
        <v>63.148200000000003</v>
      </c>
      <c r="I110" s="4">
        <v>43525</v>
      </c>
    </row>
    <row r="111" spans="1:9" x14ac:dyDescent="0.2">
      <c r="A111" t="s">
        <v>31</v>
      </c>
      <c r="B111">
        <v>21.391999999999999</v>
      </c>
      <c r="C111">
        <v>0.73231500000000005</v>
      </c>
      <c r="D111">
        <v>3869.27</v>
      </c>
      <c r="E111">
        <v>1.97105</v>
      </c>
      <c r="F111">
        <v>57.885800000000003</v>
      </c>
      <c r="I111" s="4">
        <v>43556</v>
      </c>
    </row>
    <row r="112" spans="1:9" x14ac:dyDescent="0.2">
      <c r="A112" t="s">
        <v>132</v>
      </c>
      <c r="B112">
        <v>32.201599999999999</v>
      </c>
      <c r="C112">
        <v>0.83249099999999998</v>
      </c>
      <c r="D112">
        <v>3869.61</v>
      </c>
      <c r="E112">
        <v>2.3170000000000002</v>
      </c>
      <c r="F112">
        <v>44.73</v>
      </c>
      <c r="I112" s="4">
        <v>43586</v>
      </c>
    </row>
    <row r="113" spans="1:9" x14ac:dyDescent="0.2">
      <c r="A113" t="s">
        <v>133</v>
      </c>
      <c r="B113">
        <v>32.201599999999999</v>
      </c>
      <c r="C113">
        <v>0.83249099999999998</v>
      </c>
      <c r="D113">
        <v>3869.61</v>
      </c>
      <c r="E113">
        <v>2.3170000000000002</v>
      </c>
      <c r="F113">
        <v>44.73</v>
      </c>
      <c r="I113" s="4">
        <v>43678</v>
      </c>
    </row>
    <row r="114" spans="1:9" x14ac:dyDescent="0.2">
      <c r="A114" t="s">
        <v>134</v>
      </c>
      <c r="B114">
        <v>35.340299999999999</v>
      </c>
      <c r="C114">
        <v>0.99965300000000001</v>
      </c>
      <c r="D114">
        <v>3869.51</v>
      </c>
      <c r="E114">
        <v>2.21773</v>
      </c>
      <c r="F114">
        <v>28.942900000000002</v>
      </c>
      <c r="I114" s="4">
        <v>43709</v>
      </c>
    </row>
    <row r="115" spans="1:9" x14ac:dyDescent="0.2">
      <c r="A115" t="s">
        <v>32</v>
      </c>
      <c r="B115">
        <v>39.784399999999998</v>
      </c>
      <c r="C115">
        <v>0.98326599999999997</v>
      </c>
      <c r="D115">
        <v>3869.66</v>
      </c>
      <c r="E115">
        <v>2.3666700000000001</v>
      </c>
      <c r="F115">
        <v>36.836399999999998</v>
      </c>
      <c r="I115" s="4">
        <v>43739</v>
      </c>
    </row>
    <row r="116" spans="1:9" x14ac:dyDescent="0.2">
      <c r="A116" t="s">
        <v>33</v>
      </c>
      <c r="B116">
        <v>39.857300000000002</v>
      </c>
      <c r="C116">
        <v>0.93993000000000004</v>
      </c>
      <c r="D116">
        <v>3869.71</v>
      </c>
      <c r="E116">
        <v>2.4163700000000001</v>
      </c>
      <c r="F116">
        <v>39.467599999999997</v>
      </c>
      <c r="I116" s="4">
        <v>43891</v>
      </c>
    </row>
    <row r="117" spans="1:9" x14ac:dyDescent="0.2">
      <c r="A117" t="s">
        <v>148</v>
      </c>
      <c r="B117">
        <v>39.857300000000002</v>
      </c>
      <c r="C117">
        <v>0.93993000000000004</v>
      </c>
      <c r="D117">
        <v>3869.71</v>
      </c>
      <c r="E117">
        <v>2.4163700000000001</v>
      </c>
      <c r="F117">
        <v>39.467599999999997</v>
      </c>
      <c r="I117" s="4">
        <v>43922</v>
      </c>
    </row>
    <row r="118" spans="1:9" x14ac:dyDescent="0.2">
      <c r="A118" t="s">
        <v>34</v>
      </c>
      <c r="B118">
        <v>34.8797</v>
      </c>
      <c r="C118">
        <v>1.07595</v>
      </c>
      <c r="D118">
        <v>3869.41</v>
      </c>
      <c r="E118">
        <v>2.1186099999999999</v>
      </c>
      <c r="F118">
        <v>23.680599999999998</v>
      </c>
      <c r="I118" s="4">
        <v>43952</v>
      </c>
    </row>
    <row r="119" spans="1:9" x14ac:dyDescent="0.2">
      <c r="A119" t="s">
        <v>35</v>
      </c>
      <c r="B119">
        <v>19.030899999999999</v>
      </c>
      <c r="C119">
        <v>0.93704699999999996</v>
      </c>
      <c r="D119">
        <v>3868.81</v>
      </c>
      <c r="E119">
        <v>1.6318999999999999</v>
      </c>
      <c r="F119">
        <v>71.041700000000006</v>
      </c>
      <c r="I119" s="4">
        <v>43983</v>
      </c>
    </row>
    <row r="123" spans="1:9" x14ac:dyDescent="0.2">
      <c r="A123" s="1" t="s">
        <v>175</v>
      </c>
      <c r="B123">
        <f>AVERAGE(B2:B119)</f>
        <v>25.854902752966094</v>
      </c>
      <c r="C123">
        <f t="shared" ref="C123:F123" si="22">AVERAGE(C2:C119)</f>
        <v>0.84633208050847475</v>
      </c>
      <c r="D123">
        <f t="shared" si="22"/>
        <v>3869.0701694915233</v>
      </c>
      <c r="E123">
        <f t="shared" si="22"/>
        <v>1.777415601694915</v>
      </c>
      <c r="F123">
        <f t="shared" si="22"/>
        <v>32.265330847457655</v>
      </c>
    </row>
    <row r="124" spans="1:9" x14ac:dyDescent="0.2">
      <c r="A124" s="1" t="s">
        <v>176</v>
      </c>
      <c r="B124">
        <f>MIN(B2:B119)</f>
        <v>5.3039899999999997E-3</v>
      </c>
      <c r="C124">
        <f t="shared" ref="C124:F124" si="23">MIN(C2:C119)</f>
        <v>8.0713499999999994E-2</v>
      </c>
      <c r="D124">
        <f t="shared" si="23"/>
        <v>3867.33</v>
      </c>
      <c r="E124">
        <f t="shared" si="23"/>
        <v>3.8726999999999998E-2</v>
      </c>
      <c r="F124">
        <f t="shared" si="23"/>
        <v>2.63117</v>
      </c>
    </row>
    <row r="125" spans="1:9" x14ac:dyDescent="0.2">
      <c r="A125" s="1" t="s">
        <v>177</v>
      </c>
      <c r="B125">
        <f>MAX(B2:B119)</f>
        <v>39.857300000000002</v>
      </c>
      <c r="C125">
        <f t="shared" ref="C125:F125" si="24">MAX(C2:C119)</f>
        <v>1.1151500000000001</v>
      </c>
      <c r="D125">
        <f t="shared" si="24"/>
        <v>3869.71</v>
      </c>
      <c r="E125">
        <f t="shared" si="24"/>
        <v>2.4163700000000001</v>
      </c>
      <c r="F125">
        <f t="shared" si="24"/>
        <v>84.197599999999994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4516-EE93-4953-977D-2F202ED5879D}">
  <dimension ref="A1:P58"/>
  <sheetViews>
    <sheetView topLeftCell="A34" workbookViewId="0">
      <selection activeCell="B58" sqref="B58:F58"/>
    </sheetView>
  </sheetViews>
  <sheetFormatPr defaultRowHeight="14.25" x14ac:dyDescent="0.2"/>
  <cols>
    <col min="1" max="1" width="46.375" style="1" customWidth="1"/>
    <col min="2" max="2" width="10.375" style="1" bestFit="1" customWidth="1"/>
    <col min="3" max="3" width="16.375" style="1" bestFit="1" customWidth="1"/>
    <col min="4" max="4" width="13.625" style="1" bestFit="1" customWidth="1"/>
    <col min="5" max="5" width="14.625" style="1" bestFit="1" customWidth="1"/>
    <col min="6" max="6" width="14.375" style="1" bestFit="1" customWidth="1"/>
    <col min="7" max="8" width="9" style="1"/>
    <col min="9" max="9" width="12.375" style="1" customWidth="1"/>
    <col min="10" max="10" width="10" style="1" customWidth="1"/>
    <col min="11" max="11" width="13" style="1" bestFit="1" customWidth="1"/>
    <col min="12" max="12" width="10.375" style="1" bestFit="1" customWidth="1"/>
    <col min="13" max="13" width="16.375" style="1" bestFit="1" customWidth="1"/>
    <col min="14" max="14" width="13.625" style="1" bestFit="1" customWidth="1"/>
    <col min="15" max="15" width="14.625" style="1" bestFit="1" customWidth="1"/>
    <col min="16" max="16" width="14.375" style="1" bestFit="1" customWidth="1"/>
    <col min="17" max="16384" width="9" style="1"/>
  </cols>
  <sheetData>
    <row r="1" spans="1:16" x14ac:dyDescent="0.2">
      <c r="A1" s="1" t="s">
        <v>155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178</v>
      </c>
      <c r="K1" s="1" t="s">
        <v>183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</row>
    <row r="2" spans="1:16" x14ac:dyDescent="0.2">
      <c r="A2" s="1" t="s">
        <v>38</v>
      </c>
      <c r="B2" s="1">
        <v>17.236000000000001</v>
      </c>
      <c r="C2" s="1">
        <v>1.0275700000000001</v>
      </c>
      <c r="D2" s="1">
        <v>3742.58</v>
      </c>
      <c r="E2" s="1">
        <v>0.85700600000000005</v>
      </c>
      <c r="F2" s="1">
        <v>28.988499999999998</v>
      </c>
      <c r="I2" s="3">
        <v>36404</v>
      </c>
      <c r="K2" s="1">
        <v>1999</v>
      </c>
      <c r="L2" s="1">
        <f>AVERAGE(B2)</f>
        <v>17.236000000000001</v>
      </c>
      <c r="M2" s="1">
        <f t="shared" ref="M2:P2" si="0">AVERAGE(C2)</f>
        <v>1.0275700000000001</v>
      </c>
      <c r="N2" s="1">
        <f t="shared" si="0"/>
        <v>3742.58</v>
      </c>
      <c r="O2" s="1">
        <f t="shared" si="0"/>
        <v>0.85700600000000005</v>
      </c>
      <c r="P2" s="1">
        <f t="shared" si="0"/>
        <v>28.988499999999998</v>
      </c>
    </row>
    <row r="3" spans="1:16" x14ac:dyDescent="0.2">
      <c r="A3" s="1" t="s">
        <v>40</v>
      </c>
      <c r="B3" s="1">
        <v>17.236000000000001</v>
      </c>
      <c r="C3" s="1">
        <v>1.0275700000000001</v>
      </c>
      <c r="D3" s="1">
        <v>3742.58</v>
      </c>
      <c r="E3" s="1">
        <v>0.85700600000000005</v>
      </c>
      <c r="F3" s="1">
        <v>28.988499999999998</v>
      </c>
      <c r="I3" s="3">
        <v>36647</v>
      </c>
      <c r="K3" s="1">
        <v>2000</v>
      </c>
      <c r="L3" s="1">
        <f>AVERAGE(B3:B4)</f>
        <v>9.0128424999999996</v>
      </c>
      <c r="M3" s="1">
        <f t="shared" ref="M3:P3" si="1">AVERAGE(C3:C4)</f>
        <v>0.69573400000000007</v>
      </c>
      <c r="N3" s="1">
        <f t="shared" si="1"/>
        <v>3742.2849999999999</v>
      </c>
      <c r="O3" s="1">
        <f t="shared" si="1"/>
        <v>0.56121850000000006</v>
      </c>
      <c r="P3" s="1">
        <f t="shared" si="1"/>
        <v>23.413799999999998</v>
      </c>
    </row>
    <row r="4" spans="1:16" x14ac:dyDescent="0.2">
      <c r="A4" s="1" t="s">
        <v>41</v>
      </c>
      <c r="B4" s="1">
        <v>0.78968499999999997</v>
      </c>
      <c r="C4" s="1">
        <v>0.363898</v>
      </c>
      <c r="D4" s="1">
        <v>3741.99</v>
      </c>
      <c r="E4" s="1">
        <v>0.26543099999999997</v>
      </c>
      <c r="F4" s="1">
        <v>17.839099999999998</v>
      </c>
      <c r="I4" s="3">
        <v>36770</v>
      </c>
      <c r="K4" s="1">
        <v>2001</v>
      </c>
      <c r="L4" s="1">
        <f>AVERAGE(B5:B8)</f>
        <v>0.60287950000000001</v>
      </c>
      <c r="M4" s="1">
        <f t="shared" ref="M4:P4" si="2">AVERAGE(C5:C8)</f>
        <v>0.30816925000000001</v>
      </c>
      <c r="N4" s="1">
        <f t="shared" si="2"/>
        <v>3741.97</v>
      </c>
      <c r="O4" s="1">
        <f t="shared" si="2"/>
        <v>0.24712724999999999</v>
      </c>
      <c r="P4" s="1">
        <f t="shared" si="2"/>
        <v>29.545975000000002</v>
      </c>
    </row>
    <row r="5" spans="1:16" x14ac:dyDescent="0.2">
      <c r="A5" s="1" t="s">
        <v>43</v>
      </c>
      <c r="B5" s="1">
        <v>0.49277900000000002</v>
      </c>
      <c r="C5" s="1">
        <v>0.25752599999999998</v>
      </c>
      <c r="D5" s="1">
        <v>3741.96</v>
      </c>
      <c r="E5" s="1">
        <v>0.23970900000000001</v>
      </c>
      <c r="F5" s="1">
        <v>42.367800000000003</v>
      </c>
      <c r="I5" s="3">
        <v>36951</v>
      </c>
      <c r="K5" s="1">
        <v>2002</v>
      </c>
      <c r="L5" s="1">
        <f>AVERAGE(B9:B11)</f>
        <v>3.558863333333333</v>
      </c>
      <c r="M5" s="1">
        <f t="shared" ref="M5:P5" si="3">AVERAGE(C9:C11)</f>
        <v>0.51883933333333332</v>
      </c>
      <c r="N5" s="1">
        <f t="shared" si="3"/>
        <v>3742.1133333333332</v>
      </c>
      <c r="O5" s="1">
        <f t="shared" si="3"/>
        <v>0.38751700000000006</v>
      </c>
      <c r="P5" s="1">
        <f t="shared" si="3"/>
        <v>20.068966666666668</v>
      </c>
    </row>
    <row r="6" spans="1:16" x14ac:dyDescent="0.2">
      <c r="A6" s="1" t="s">
        <v>44</v>
      </c>
      <c r="B6" s="1">
        <v>0.49277900000000002</v>
      </c>
      <c r="C6" s="1">
        <v>0.25752599999999998</v>
      </c>
      <c r="D6" s="1">
        <v>3741.96</v>
      </c>
      <c r="E6" s="1">
        <v>0.23970900000000001</v>
      </c>
      <c r="F6" s="1">
        <v>42.367800000000003</v>
      </c>
      <c r="I6" s="3">
        <v>36982</v>
      </c>
      <c r="K6" s="1">
        <v>2003</v>
      </c>
      <c r="L6" s="1">
        <f>AVERAGE(B12:B15)</f>
        <v>7.4676549999999988</v>
      </c>
      <c r="M6" s="1">
        <f t="shared" ref="M6:P6" si="4">AVERAGE(C12:C15)</f>
        <v>0.68343799999999999</v>
      </c>
      <c r="N6" s="1">
        <f t="shared" si="4"/>
        <v>3742.3174999999997</v>
      </c>
      <c r="O6" s="1">
        <f t="shared" si="4"/>
        <v>0.5953409999999999</v>
      </c>
      <c r="P6" s="1">
        <f t="shared" si="4"/>
        <v>49.057400000000001</v>
      </c>
    </row>
    <row r="7" spans="1:16" x14ac:dyDescent="0.2">
      <c r="A7" s="1" t="s">
        <v>47</v>
      </c>
      <c r="B7" s="1">
        <v>0.63627500000000003</v>
      </c>
      <c r="C7" s="1">
        <v>0.35372700000000001</v>
      </c>
      <c r="D7" s="1">
        <v>3741.97</v>
      </c>
      <c r="E7" s="1">
        <v>0.24365999999999999</v>
      </c>
      <c r="F7" s="1">
        <v>15.6092</v>
      </c>
      <c r="I7" s="3">
        <v>37135</v>
      </c>
      <c r="K7" s="1">
        <v>2004</v>
      </c>
      <c r="L7" s="1">
        <f>AVERAGE(B16:B18)</f>
        <v>0.52142333333333335</v>
      </c>
      <c r="M7" s="1">
        <f t="shared" ref="M7:P7" si="5">AVERAGE(C16:C18)</f>
        <v>0.34887299999999999</v>
      </c>
      <c r="N7" s="1">
        <f t="shared" si="5"/>
        <v>3741.9433333333332</v>
      </c>
      <c r="O7" s="1">
        <f t="shared" si="5"/>
        <v>0.21878966666666666</v>
      </c>
      <c r="P7" s="1">
        <f t="shared" si="5"/>
        <v>20.812243333333331</v>
      </c>
    </row>
    <row r="8" spans="1:16" x14ac:dyDescent="0.2">
      <c r="A8" s="1" t="s">
        <v>48</v>
      </c>
      <c r="B8" s="1">
        <v>0.78968499999999997</v>
      </c>
      <c r="C8" s="1">
        <v>0.363898</v>
      </c>
      <c r="D8" s="1">
        <v>3741.99</v>
      </c>
      <c r="E8" s="1">
        <v>0.26543099999999997</v>
      </c>
      <c r="F8" s="1">
        <v>17.839099999999998</v>
      </c>
      <c r="I8" s="3">
        <v>37165</v>
      </c>
      <c r="K8" s="1">
        <v>2005</v>
      </c>
      <c r="L8" s="1">
        <f>AVERAGE(B19:B20)</f>
        <v>19.7729</v>
      </c>
      <c r="M8" s="1">
        <f t="shared" ref="M8:P8" si="6">AVERAGE(C19:C20)</f>
        <v>1.0667450000000001</v>
      </c>
      <c r="N8" s="1">
        <f t="shared" si="6"/>
        <v>3742.6350000000002</v>
      </c>
      <c r="O8" s="1">
        <f t="shared" si="6"/>
        <v>0.91245750000000003</v>
      </c>
      <c r="P8" s="1">
        <f t="shared" si="6"/>
        <v>30.103449999999999</v>
      </c>
    </row>
    <row r="9" spans="1:16" x14ac:dyDescent="0.2">
      <c r="A9" s="1" t="s">
        <v>50</v>
      </c>
      <c r="B9" s="1">
        <v>9.2506299999999992</v>
      </c>
      <c r="C9" s="1">
        <v>0.838893</v>
      </c>
      <c r="D9" s="1">
        <v>3742.38</v>
      </c>
      <c r="E9" s="1">
        <v>0.65346000000000004</v>
      </c>
      <c r="F9" s="1">
        <v>26.758600000000001</v>
      </c>
      <c r="I9" s="3">
        <v>37347</v>
      </c>
      <c r="K9" s="1">
        <v>2006</v>
      </c>
      <c r="L9" s="1">
        <f>AVERAGE(B21:B22)</f>
        <v>17.700499999999998</v>
      </c>
      <c r="M9" s="1">
        <f t="shared" ref="M9:P9" si="7">AVERAGE(C21:C22)</f>
        <v>0.97166649999999999</v>
      </c>
      <c r="N9" s="1">
        <f t="shared" si="7"/>
        <v>3742.55</v>
      </c>
      <c r="O9" s="1">
        <f t="shared" si="7"/>
        <v>0.82674800000000004</v>
      </c>
      <c r="P9" s="1">
        <f t="shared" si="7"/>
        <v>43.482750000000003</v>
      </c>
    </row>
    <row r="10" spans="1:16" x14ac:dyDescent="0.2">
      <c r="A10" s="1" t="s">
        <v>51</v>
      </c>
      <c r="B10" s="1">
        <v>0.63627500000000003</v>
      </c>
      <c r="C10" s="1">
        <v>0.35372700000000001</v>
      </c>
      <c r="D10" s="1">
        <v>3741.97</v>
      </c>
      <c r="E10" s="1">
        <v>0.24365999999999999</v>
      </c>
      <c r="F10" s="1">
        <v>15.6092</v>
      </c>
      <c r="I10" s="3">
        <v>37408</v>
      </c>
      <c r="K10" s="1">
        <v>2007</v>
      </c>
      <c r="L10" s="1">
        <f>AVERAGE(B23:B26)</f>
        <v>8.8511437500000003</v>
      </c>
      <c r="M10" s="1">
        <f t="shared" ref="M10:P10" si="8">AVERAGE(C23:C26)</f>
        <v>0.66586575000000003</v>
      </c>
      <c r="N10" s="1">
        <f t="shared" si="8"/>
        <v>3742.2624999999998</v>
      </c>
      <c r="O10" s="1">
        <f t="shared" si="8"/>
        <v>0.53878274999999998</v>
      </c>
      <c r="P10" s="1">
        <f t="shared" si="8"/>
        <v>33.448250000000002</v>
      </c>
    </row>
    <row r="11" spans="1:16" x14ac:dyDescent="0.2">
      <c r="A11" s="1" t="s">
        <v>53</v>
      </c>
      <c r="B11" s="1">
        <v>0.78968499999999997</v>
      </c>
      <c r="C11" s="1">
        <v>0.363898</v>
      </c>
      <c r="D11" s="1">
        <v>3741.99</v>
      </c>
      <c r="E11" s="1">
        <v>0.26543099999999997</v>
      </c>
      <c r="F11" s="1">
        <v>17.839099999999998</v>
      </c>
      <c r="I11" s="3">
        <v>37530</v>
      </c>
      <c r="K11" s="1">
        <v>2008</v>
      </c>
      <c r="L11" s="1">
        <f>AVERAGE(B27)</f>
        <v>5.3967299999999998</v>
      </c>
      <c r="M11" s="1">
        <f t="shared" ref="M11:P11" si="9">AVERAGE(C27)</f>
        <v>0.69908899999999996</v>
      </c>
      <c r="N11" s="1">
        <f t="shared" si="9"/>
        <v>3742.24</v>
      </c>
      <c r="O11" s="1">
        <f t="shared" si="9"/>
        <v>0.52216499999999999</v>
      </c>
      <c r="P11" s="1">
        <f t="shared" si="9"/>
        <v>24.528700000000001</v>
      </c>
    </row>
    <row r="12" spans="1:16" x14ac:dyDescent="0.2">
      <c r="A12" s="1" t="s">
        <v>54</v>
      </c>
      <c r="B12" s="1">
        <v>7.9157000000000002</v>
      </c>
      <c r="C12" s="1">
        <v>0.60194300000000001</v>
      </c>
      <c r="D12" s="1">
        <v>3742.34</v>
      </c>
      <c r="E12" s="1">
        <v>0.61415600000000004</v>
      </c>
      <c r="F12" s="1">
        <v>73.586100000000002</v>
      </c>
      <c r="I12" s="3">
        <v>37622</v>
      </c>
      <c r="K12" s="1">
        <v>2009</v>
      </c>
      <c r="L12" s="1">
        <f>AVERAGE(B28:B30)</f>
        <v>7.7425283333333326</v>
      </c>
      <c r="M12" s="1">
        <f t="shared" ref="M12:P12" si="10">AVERAGE(C28:C30)</f>
        <v>0.53808166666666668</v>
      </c>
      <c r="N12" s="1">
        <f t="shared" si="10"/>
        <v>3742.1999999999994</v>
      </c>
      <c r="O12" s="1">
        <f t="shared" si="10"/>
        <v>0.47842433333333334</v>
      </c>
      <c r="P12" s="1">
        <f t="shared" si="10"/>
        <v>37.908033333333336</v>
      </c>
    </row>
    <row r="13" spans="1:16" x14ac:dyDescent="0.2">
      <c r="A13" s="1" t="s">
        <v>55</v>
      </c>
      <c r="B13" s="1">
        <v>7.3075599999999996</v>
      </c>
      <c r="C13" s="1">
        <v>0.59382699999999999</v>
      </c>
      <c r="D13" s="1">
        <v>3742.31</v>
      </c>
      <c r="E13" s="1">
        <v>0.59158299999999997</v>
      </c>
      <c r="F13" s="1">
        <v>71.356200000000001</v>
      </c>
      <c r="I13" s="3">
        <v>37653</v>
      </c>
      <c r="K13" s="1">
        <v>2010</v>
      </c>
      <c r="L13" s="1">
        <f>AVERAGE(B31:B32)</f>
        <v>60.237549999999999</v>
      </c>
      <c r="M13" s="1">
        <f t="shared" ref="M13:P13" si="11">AVERAGE(C31:C32)</f>
        <v>1.1678199999999999</v>
      </c>
      <c r="N13" s="1">
        <f t="shared" si="11"/>
        <v>3742.9949999999999</v>
      </c>
      <c r="O13" s="1">
        <f t="shared" si="11"/>
        <v>1.2720145</v>
      </c>
      <c r="P13" s="1">
        <f t="shared" si="11"/>
        <v>70.241199999999992</v>
      </c>
    </row>
    <row r="14" spans="1:16" x14ac:dyDescent="0.2">
      <c r="A14" s="1" t="s">
        <v>56</v>
      </c>
      <c r="B14" s="1">
        <v>9.2506299999999992</v>
      </c>
      <c r="C14" s="1">
        <v>0.838893</v>
      </c>
      <c r="D14" s="1">
        <v>3742.38</v>
      </c>
      <c r="E14" s="1">
        <v>0.65346000000000004</v>
      </c>
      <c r="F14" s="1">
        <v>26.758600000000001</v>
      </c>
      <c r="I14" s="3">
        <v>37712</v>
      </c>
      <c r="K14" s="1">
        <v>2011</v>
      </c>
      <c r="L14" s="1">
        <f>AVERAGE(B33)</f>
        <v>16.145900000000001</v>
      </c>
      <c r="M14" s="1">
        <f t="shared" ref="M14:P14" si="12">AVERAGE(C33)</f>
        <v>0.82193300000000002</v>
      </c>
      <c r="N14" s="1">
        <f t="shared" si="12"/>
        <v>3742.62</v>
      </c>
      <c r="O14" s="1">
        <f t="shared" si="12"/>
        <v>0.89408600000000005</v>
      </c>
      <c r="P14" s="1">
        <f t="shared" si="12"/>
        <v>49.057400000000001</v>
      </c>
    </row>
    <row r="15" spans="1:16" x14ac:dyDescent="0.2">
      <c r="A15" s="1" t="s">
        <v>57</v>
      </c>
      <c r="B15" s="1">
        <v>5.3967299999999998</v>
      </c>
      <c r="C15" s="1">
        <v>0.69908899999999996</v>
      </c>
      <c r="D15" s="1">
        <v>3742.24</v>
      </c>
      <c r="E15" s="1">
        <v>0.52216499999999999</v>
      </c>
      <c r="F15" s="1">
        <v>24.528700000000001</v>
      </c>
      <c r="I15" s="3">
        <v>37742</v>
      </c>
      <c r="K15" s="1">
        <v>2012</v>
      </c>
      <c r="L15" s="1">
        <f>AVERAGE(B34:B36)</f>
        <v>4.5449159999999997</v>
      </c>
      <c r="M15" s="1">
        <f t="shared" ref="M15:P15" si="13">AVERAGE(C34:C36)</f>
        <v>0.50919266666666663</v>
      </c>
      <c r="N15" s="1">
        <f t="shared" si="13"/>
        <v>3742.126666666667</v>
      </c>
      <c r="O15" s="1">
        <f t="shared" si="13"/>
        <v>0.40203499999999998</v>
      </c>
      <c r="P15" s="1">
        <f t="shared" si="13"/>
        <v>40.881166666666665</v>
      </c>
    </row>
    <row r="16" spans="1:16" x14ac:dyDescent="0.2">
      <c r="A16" s="1" t="s">
        <v>60</v>
      </c>
      <c r="B16" s="1">
        <v>0.37614399999999998</v>
      </c>
      <c r="C16" s="1">
        <v>0.36079600000000001</v>
      </c>
      <c r="D16" s="1">
        <v>3741.9</v>
      </c>
      <c r="E16" s="1">
        <v>0.178755</v>
      </c>
      <c r="F16" s="1">
        <v>8.91953</v>
      </c>
      <c r="I16" s="3">
        <v>38047</v>
      </c>
      <c r="K16" s="1">
        <v>2013</v>
      </c>
      <c r="L16" s="1">
        <f>AVERAGE(B37:B39)</f>
        <v>8.6071786666666661</v>
      </c>
      <c r="M16" s="1">
        <f t="shared" ref="M16:P16" si="14">AVERAGE(C37:C39)</f>
        <v>0.63720833333333338</v>
      </c>
      <c r="N16" s="1">
        <f t="shared" si="14"/>
        <v>3742.3166666666671</v>
      </c>
      <c r="O16" s="1">
        <f t="shared" si="14"/>
        <v>0.59173366666666671</v>
      </c>
      <c r="P16" s="1">
        <f t="shared" si="14"/>
        <v>38.651299999999999</v>
      </c>
    </row>
    <row r="17" spans="1:16" x14ac:dyDescent="0.2">
      <c r="A17" s="1" t="s">
        <v>62</v>
      </c>
      <c r="B17" s="1">
        <v>0.63627500000000003</v>
      </c>
      <c r="C17" s="1">
        <v>0.35372700000000001</v>
      </c>
      <c r="D17" s="1">
        <v>3741.97</v>
      </c>
      <c r="E17" s="1">
        <v>0.24365999999999999</v>
      </c>
      <c r="F17" s="1">
        <v>15.6092</v>
      </c>
      <c r="I17" s="3">
        <v>38231</v>
      </c>
      <c r="K17" s="1">
        <v>2014</v>
      </c>
      <c r="L17" s="1">
        <f>AVERAGE(B40:B42)</f>
        <v>10.627786666666665</v>
      </c>
      <c r="M17" s="1">
        <f t="shared" ref="M17:P17" si="15">AVERAGE(C40:C42)</f>
        <v>0.85518399999999994</v>
      </c>
      <c r="N17" s="1">
        <f t="shared" si="15"/>
        <v>3742.4</v>
      </c>
      <c r="O17" s="1">
        <f t="shared" si="15"/>
        <v>0.67754366666666677</v>
      </c>
      <c r="P17" s="1">
        <f t="shared" si="15"/>
        <v>26.758600000000001</v>
      </c>
    </row>
    <row r="18" spans="1:16" x14ac:dyDescent="0.2">
      <c r="A18" s="1" t="s">
        <v>64</v>
      </c>
      <c r="B18" s="1">
        <v>0.55185099999999998</v>
      </c>
      <c r="C18" s="1">
        <v>0.332096</v>
      </c>
      <c r="D18" s="1">
        <v>3741.96</v>
      </c>
      <c r="E18" s="1">
        <v>0.233954</v>
      </c>
      <c r="F18" s="1">
        <v>37.908000000000001</v>
      </c>
      <c r="I18" s="3">
        <v>38292</v>
      </c>
      <c r="K18" s="1">
        <v>2015</v>
      </c>
      <c r="L18" s="1">
        <f>AVERAGE(B43)</f>
        <v>17.236000000000001</v>
      </c>
      <c r="M18" s="1">
        <f t="shared" ref="M18:P18" si="16">AVERAGE(C43)</f>
        <v>1.0275700000000001</v>
      </c>
      <c r="N18" s="1">
        <f t="shared" si="16"/>
        <v>3742.58</v>
      </c>
      <c r="O18" s="1">
        <f t="shared" si="16"/>
        <v>0.85700600000000005</v>
      </c>
      <c r="P18" s="1">
        <f t="shared" si="16"/>
        <v>28.988499999999998</v>
      </c>
    </row>
    <row r="19" spans="1:16" x14ac:dyDescent="0.2">
      <c r="A19" s="1" t="s">
        <v>67</v>
      </c>
      <c r="B19" s="1">
        <v>22.309799999999999</v>
      </c>
      <c r="C19" s="1">
        <v>1.10592</v>
      </c>
      <c r="D19" s="1">
        <v>3742.69</v>
      </c>
      <c r="E19" s="1">
        <v>0.96790900000000002</v>
      </c>
      <c r="F19" s="1">
        <v>31.218399999999999</v>
      </c>
      <c r="I19" s="3">
        <v>38565</v>
      </c>
      <c r="K19" s="1">
        <v>2016</v>
      </c>
      <c r="L19" s="1">
        <f>AVERAGE(B44)</f>
        <v>22.309799999999999</v>
      </c>
      <c r="M19" s="1">
        <f t="shared" ref="M19:P19" si="17">AVERAGE(C44)</f>
        <v>1.10592</v>
      </c>
      <c r="N19" s="1">
        <f t="shared" si="17"/>
        <v>3742.69</v>
      </c>
      <c r="O19" s="1">
        <f t="shared" si="17"/>
        <v>0.96790900000000002</v>
      </c>
      <c r="P19" s="1">
        <f t="shared" si="17"/>
        <v>31.218399999999999</v>
      </c>
    </row>
    <row r="20" spans="1:16" x14ac:dyDescent="0.2">
      <c r="A20" s="1" t="s">
        <v>68</v>
      </c>
      <c r="B20" s="1">
        <v>17.236000000000001</v>
      </c>
      <c r="C20" s="1">
        <v>1.0275700000000001</v>
      </c>
      <c r="D20" s="1">
        <v>3742.58</v>
      </c>
      <c r="E20" s="1">
        <v>0.85700600000000005</v>
      </c>
      <c r="F20" s="1">
        <v>28.988499999999998</v>
      </c>
      <c r="I20" s="3">
        <v>38596</v>
      </c>
      <c r="K20" s="1">
        <v>2017</v>
      </c>
      <c r="L20" s="1">
        <f>AVERAGE(B45:B46)</f>
        <v>6.7919895000000006</v>
      </c>
      <c r="M20" s="1">
        <f t="shared" ref="M20:P20" si="18">AVERAGE(C45:C46)</f>
        <v>0.54746949999999994</v>
      </c>
      <c r="N20" s="1">
        <f t="shared" si="18"/>
        <v>3742.1849999999999</v>
      </c>
      <c r="O20" s="1">
        <f t="shared" si="18"/>
        <v>0.46264799999999995</v>
      </c>
      <c r="P20" s="1">
        <f t="shared" si="18"/>
        <v>49.057450000000003</v>
      </c>
    </row>
    <row r="21" spans="1:16" x14ac:dyDescent="0.2">
      <c r="A21" s="1" t="s">
        <v>139</v>
      </c>
      <c r="B21" s="1">
        <v>13.091200000000001</v>
      </c>
      <c r="C21" s="1">
        <v>0.83741299999999996</v>
      </c>
      <c r="D21" s="1">
        <v>3742.41</v>
      </c>
      <c r="E21" s="1">
        <v>0.68558699999999995</v>
      </c>
      <c r="F21" s="1">
        <v>55.747100000000003</v>
      </c>
      <c r="I21" s="3">
        <v>38808</v>
      </c>
      <c r="K21" s="1">
        <v>2018</v>
      </c>
      <c r="L21" s="1">
        <f>AVERAGE(B47:B50)</f>
        <v>8.0181234999999997</v>
      </c>
      <c r="M21" s="1">
        <f t="shared" ref="M21:P21" si="19">AVERAGE(C47:C50)</f>
        <v>0.50260199999999999</v>
      </c>
      <c r="N21" s="1">
        <f t="shared" si="19"/>
        <v>3742.2350000000001</v>
      </c>
      <c r="O21" s="1">
        <f t="shared" si="19"/>
        <v>0.51256449999999998</v>
      </c>
      <c r="P21" s="1">
        <f t="shared" si="19"/>
        <v>60.206825000000002</v>
      </c>
    </row>
    <row r="22" spans="1:16" x14ac:dyDescent="0.2">
      <c r="A22" s="1" t="s">
        <v>71</v>
      </c>
      <c r="B22" s="1">
        <v>22.309799999999999</v>
      </c>
      <c r="C22" s="1">
        <v>1.10592</v>
      </c>
      <c r="D22" s="1">
        <v>3742.69</v>
      </c>
      <c r="E22" s="1">
        <v>0.96790900000000002</v>
      </c>
      <c r="F22" s="1">
        <v>31.218399999999999</v>
      </c>
      <c r="I22" s="3">
        <v>38899</v>
      </c>
      <c r="K22" s="1">
        <v>2019</v>
      </c>
      <c r="L22" s="1">
        <f>AVERAGE(B51)</f>
        <v>12.634399999999999</v>
      </c>
      <c r="M22" s="1">
        <f t="shared" ref="M22:P22" si="20">AVERAGE(C51)</f>
        <v>0.91252800000000001</v>
      </c>
      <c r="N22" s="1">
        <f t="shared" si="20"/>
        <v>3742.48</v>
      </c>
      <c r="O22" s="1">
        <f t="shared" si="20"/>
        <v>0.75293200000000005</v>
      </c>
      <c r="P22" s="1">
        <f t="shared" si="20"/>
        <v>44.5976</v>
      </c>
    </row>
    <row r="23" spans="1:16" x14ac:dyDescent="0.2">
      <c r="A23" s="1" t="s">
        <v>77</v>
      </c>
      <c r="B23" s="1">
        <v>17.236000000000001</v>
      </c>
      <c r="C23" s="1">
        <v>1.0275700000000001</v>
      </c>
      <c r="D23" s="1">
        <v>3742.58</v>
      </c>
      <c r="E23" s="1">
        <v>0.85700600000000005</v>
      </c>
      <c r="F23" s="1">
        <v>28.988499999999998</v>
      </c>
      <c r="I23" s="3">
        <v>39234</v>
      </c>
      <c r="K23" s="1">
        <v>2020</v>
      </c>
      <c r="L23" s="1">
        <f>AVERAGE(B52)</f>
        <v>12.634399999999999</v>
      </c>
      <c r="M23" s="1">
        <f t="shared" ref="M23:P23" si="21">AVERAGE(C52)</f>
        <v>0.91252800000000001</v>
      </c>
      <c r="N23" s="1">
        <f t="shared" si="21"/>
        <v>3742.48</v>
      </c>
      <c r="O23" s="1">
        <f t="shared" si="21"/>
        <v>0.75293200000000005</v>
      </c>
      <c r="P23" s="1">
        <f t="shared" si="21"/>
        <v>44.5976</v>
      </c>
    </row>
    <row r="24" spans="1:16" x14ac:dyDescent="0.2">
      <c r="A24" s="1" t="s">
        <v>78</v>
      </c>
      <c r="B24" s="1">
        <v>17.236000000000001</v>
      </c>
      <c r="C24" s="1">
        <v>1.0275700000000001</v>
      </c>
      <c r="D24" s="1">
        <v>3742.58</v>
      </c>
      <c r="E24" s="1">
        <v>0.85700600000000005</v>
      </c>
      <c r="F24" s="1">
        <v>28.988499999999998</v>
      </c>
      <c r="I24" s="3">
        <v>39264</v>
      </c>
    </row>
    <row r="25" spans="1:16" x14ac:dyDescent="0.2">
      <c r="A25" s="1" t="s">
        <v>80</v>
      </c>
      <c r="B25" s="1">
        <v>0.50756900000000005</v>
      </c>
      <c r="C25" s="1">
        <v>0.35752400000000001</v>
      </c>
      <c r="D25" s="1">
        <v>3741.94</v>
      </c>
      <c r="E25" s="1">
        <v>0.21346399999999999</v>
      </c>
      <c r="F25" s="1">
        <v>35.678100000000001</v>
      </c>
      <c r="I25" s="3">
        <v>39326</v>
      </c>
    </row>
    <row r="26" spans="1:16" x14ac:dyDescent="0.2">
      <c r="A26" s="1" t="s">
        <v>81</v>
      </c>
      <c r="B26" s="1">
        <v>0.42500599999999999</v>
      </c>
      <c r="C26" s="1">
        <v>0.25079899999999999</v>
      </c>
      <c r="D26" s="1">
        <v>3741.95</v>
      </c>
      <c r="E26" s="1">
        <v>0.227655</v>
      </c>
      <c r="F26" s="1">
        <v>40.137900000000002</v>
      </c>
      <c r="I26" s="3">
        <v>39356</v>
      </c>
    </row>
    <row r="27" spans="1:16" x14ac:dyDescent="0.2">
      <c r="A27" s="1" t="s">
        <v>85</v>
      </c>
      <c r="B27" s="1">
        <v>5.3967299999999998</v>
      </c>
      <c r="C27" s="1">
        <v>0.69908899999999996</v>
      </c>
      <c r="D27" s="1">
        <v>3742.24</v>
      </c>
      <c r="E27" s="1">
        <v>0.52216499999999999</v>
      </c>
      <c r="F27" s="1">
        <v>24.528700000000001</v>
      </c>
      <c r="I27" s="3">
        <v>39630</v>
      </c>
    </row>
    <row r="28" spans="1:16" x14ac:dyDescent="0.2">
      <c r="A28" s="1" t="s">
        <v>89</v>
      </c>
      <c r="B28" s="1">
        <v>0.42500599999999999</v>
      </c>
      <c r="C28" s="1">
        <v>0.25079899999999999</v>
      </c>
      <c r="D28" s="1">
        <v>3741.95</v>
      </c>
      <c r="E28" s="1">
        <v>0.227655</v>
      </c>
      <c r="F28" s="1">
        <v>40.137900000000002</v>
      </c>
      <c r="I28" s="3">
        <v>39873</v>
      </c>
      <c r="L28" s="2"/>
    </row>
    <row r="29" spans="1:16" x14ac:dyDescent="0.2">
      <c r="A29" s="1" t="s">
        <v>91</v>
      </c>
      <c r="B29" s="1">
        <v>22.309799999999999</v>
      </c>
      <c r="C29" s="1">
        <v>1.10592</v>
      </c>
      <c r="D29" s="1">
        <v>3742.69</v>
      </c>
      <c r="E29" s="1">
        <v>0.96790900000000002</v>
      </c>
      <c r="F29" s="1">
        <v>31.218399999999999</v>
      </c>
      <c r="I29" s="3">
        <v>39995</v>
      </c>
    </row>
    <row r="30" spans="1:16" x14ac:dyDescent="0.2">
      <c r="A30" s="1" t="s">
        <v>93</v>
      </c>
      <c r="B30" s="1">
        <v>0.49277900000000002</v>
      </c>
      <c r="C30" s="1">
        <v>0.25752599999999998</v>
      </c>
      <c r="D30" s="1">
        <v>3741.96</v>
      </c>
      <c r="E30" s="1">
        <v>0.23970900000000001</v>
      </c>
      <c r="F30" s="1">
        <v>42.367800000000003</v>
      </c>
      <c r="I30" s="3">
        <v>40057</v>
      </c>
    </row>
    <row r="31" spans="1:16" x14ac:dyDescent="0.2">
      <c r="A31" s="1" t="s">
        <v>98</v>
      </c>
      <c r="B31" s="1">
        <v>22.309799999999999</v>
      </c>
      <c r="C31" s="1">
        <v>1.10592</v>
      </c>
      <c r="D31" s="1">
        <v>3742.69</v>
      </c>
      <c r="E31" s="1">
        <v>0.96790900000000002</v>
      </c>
      <c r="F31" s="1">
        <v>31.218399999999999</v>
      </c>
      <c r="I31" s="3">
        <v>40452</v>
      </c>
    </row>
    <row r="32" spans="1:16" x14ac:dyDescent="0.2">
      <c r="A32" s="1" t="s">
        <v>100</v>
      </c>
      <c r="B32" s="1">
        <v>98.165300000000002</v>
      </c>
      <c r="C32" s="1">
        <v>1.2297199999999999</v>
      </c>
      <c r="D32" s="1">
        <v>3743.3</v>
      </c>
      <c r="E32" s="1">
        <v>1.57612</v>
      </c>
      <c r="F32" s="1">
        <v>109.264</v>
      </c>
      <c r="I32" s="3">
        <v>40513</v>
      </c>
    </row>
    <row r="33" spans="1:9" x14ac:dyDescent="0.2">
      <c r="A33" s="1" t="s">
        <v>104</v>
      </c>
      <c r="B33" s="1">
        <v>16.145900000000001</v>
      </c>
      <c r="C33" s="1">
        <v>0.82193300000000002</v>
      </c>
      <c r="D33" s="1">
        <v>3742.62</v>
      </c>
      <c r="E33" s="1">
        <v>0.89408600000000005</v>
      </c>
      <c r="F33" s="1">
        <v>49.057400000000001</v>
      </c>
      <c r="I33" s="3">
        <v>40848</v>
      </c>
    </row>
    <row r="34" spans="1:9" x14ac:dyDescent="0.2">
      <c r="A34" s="1" t="s">
        <v>156</v>
      </c>
      <c r="B34" s="1">
        <v>0.49277900000000002</v>
      </c>
      <c r="C34" s="1">
        <v>0.25752599999999998</v>
      </c>
      <c r="D34" s="1">
        <v>3741.96</v>
      </c>
      <c r="E34" s="1">
        <v>0.23970900000000001</v>
      </c>
      <c r="F34" s="1">
        <v>42.367800000000003</v>
      </c>
      <c r="I34" s="3">
        <v>41061</v>
      </c>
    </row>
    <row r="35" spans="1:9" x14ac:dyDescent="0.2">
      <c r="A35" s="1" t="s">
        <v>106</v>
      </c>
      <c r="B35" s="1">
        <v>12.634399999999999</v>
      </c>
      <c r="C35" s="1">
        <v>0.91252800000000001</v>
      </c>
      <c r="D35" s="1">
        <v>3742.48</v>
      </c>
      <c r="E35" s="1">
        <v>0.75293200000000005</v>
      </c>
      <c r="F35" s="1">
        <v>44.5976</v>
      </c>
      <c r="I35" s="3">
        <v>41091</v>
      </c>
    </row>
    <row r="36" spans="1:9" x14ac:dyDescent="0.2">
      <c r="A36" s="1" t="s">
        <v>107</v>
      </c>
      <c r="B36" s="1">
        <v>0.50756900000000005</v>
      </c>
      <c r="C36" s="1">
        <v>0.35752400000000001</v>
      </c>
      <c r="D36" s="1">
        <v>3741.94</v>
      </c>
      <c r="E36" s="1">
        <v>0.21346399999999999</v>
      </c>
      <c r="F36" s="1">
        <v>35.678100000000001</v>
      </c>
      <c r="I36" s="3">
        <v>41153</v>
      </c>
    </row>
    <row r="37" spans="1:9" x14ac:dyDescent="0.2">
      <c r="A37" s="1" t="s">
        <v>112</v>
      </c>
      <c r="B37" s="1">
        <v>16.145900000000001</v>
      </c>
      <c r="C37" s="1">
        <v>0.82193300000000002</v>
      </c>
      <c r="D37" s="1">
        <v>3742.62</v>
      </c>
      <c r="E37" s="1">
        <v>0.89408600000000005</v>
      </c>
      <c r="F37" s="1">
        <v>49.057400000000001</v>
      </c>
      <c r="I37" s="3">
        <v>41395</v>
      </c>
    </row>
    <row r="38" spans="1:9" x14ac:dyDescent="0.2">
      <c r="A38" s="1" t="s">
        <v>8</v>
      </c>
      <c r="B38" s="1">
        <v>9.2506299999999992</v>
      </c>
      <c r="C38" s="1">
        <v>0.838893</v>
      </c>
      <c r="D38" s="1">
        <v>3742.38</v>
      </c>
      <c r="E38" s="1">
        <v>0.65346000000000004</v>
      </c>
      <c r="F38" s="1">
        <v>26.758600000000001</v>
      </c>
      <c r="I38" s="3">
        <v>41456</v>
      </c>
    </row>
    <row r="39" spans="1:9" x14ac:dyDescent="0.2">
      <c r="A39" s="1" t="s">
        <v>9</v>
      </c>
      <c r="B39" s="1">
        <v>0.42500599999999999</v>
      </c>
      <c r="C39" s="1">
        <v>0.25079899999999999</v>
      </c>
      <c r="D39" s="1">
        <v>3741.95</v>
      </c>
      <c r="E39" s="1">
        <v>0.227655</v>
      </c>
      <c r="F39" s="1">
        <v>40.137900000000002</v>
      </c>
      <c r="I39" s="3">
        <v>41548</v>
      </c>
    </row>
    <row r="40" spans="1:9" x14ac:dyDescent="0.2">
      <c r="A40" s="1" t="s">
        <v>143</v>
      </c>
      <c r="B40" s="1">
        <v>17.236000000000001</v>
      </c>
      <c r="C40" s="1">
        <v>1.0275700000000001</v>
      </c>
      <c r="D40" s="1">
        <v>3742.58</v>
      </c>
      <c r="E40" s="1">
        <v>0.85700600000000005</v>
      </c>
      <c r="F40" s="1">
        <v>28.988499999999998</v>
      </c>
      <c r="I40" s="3">
        <v>41640</v>
      </c>
    </row>
    <row r="41" spans="1:9" x14ac:dyDescent="0.2">
      <c r="A41" s="1" t="s">
        <v>115</v>
      </c>
      <c r="B41" s="1">
        <v>9.2506299999999992</v>
      </c>
      <c r="C41" s="1">
        <v>0.838893</v>
      </c>
      <c r="D41" s="1">
        <v>3742.38</v>
      </c>
      <c r="E41" s="1">
        <v>0.65346000000000004</v>
      </c>
      <c r="F41" s="1">
        <v>26.758600000000001</v>
      </c>
      <c r="I41" s="3">
        <v>41791</v>
      </c>
    </row>
    <row r="42" spans="1:9" x14ac:dyDescent="0.2">
      <c r="A42" s="1" t="s">
        <v>11</v>
      </c>
      <c r="B42" s="1">
        <v>5.3967299999999998</v>
      </c>
      <c r="C42" s="1">
        <v>0.69908899999999996</v>
      </c>
      <c r="D42" s="1">
        <v>3742.24</v>
      </c>
      <c r="E42" s="1">
        <v>0.52216499999999999</v>
      </c>
      <c r="F42" s="1">
        <v>24.528700000000001</v>
      </c>
      <c r="I42" s="3">
        <v>41913</v>
      </c>
    </row>
    <row r="43" spans="1:9" x14ac:dyDescent="0.2">
      <c r="A43" s="1" t="s">
        <v>18</v>
      </c>
      <c r="B43" s="1">
        <v>17.236000000000001</v>
      </c>
      <c r="C43" s="1">
        <v>1.0275700000000001</v>
      </c>
      <c r="D43" s="1">
        <v>3742.58</v>
      </c>
      <c r="E43" s="1">
        <v>0.85700600000000005</v>
      </c>
      <c r="F43" s="1">
        <v>28.988499999999998</v>
      </c>
      <c r="I43" s="3">
        <v>42278</v>
      </c>
    </row>
    <row r="44" spans="1:9" x14ac:dyDescent="0.2">
      <c r="A44" s="1" t="s">
        <v>20</v>
      </c>
      <c r="B44" s="1">
        <v>22.309799999999999</v>
      </c>
      <c r="C44" s="1">
        <v>1.10592</v>
      </c>
      <c r="D44" s="1">
        <v>3742.69</v>
      </c>
      <c r="E44" s="1">
        <v>0.96790900000000002</v>
      </c>
      <c r="F44" s="1">
        <v>31.218399999999999</v>
      </c>
      <c r="I44" s="3">
        <v>42491</v>
      </c>
    </row>
    <row r="45" spans="1:9" x14ac:dyDescent="0.2">
      <c r="A45" s="1" t="s">
        <v>23</v>
      </c>
      <c r="B45" s="1">
        <v>0.49277900000000002</v>
      </c>
      <c r="C45" s="1">
        <v>0.25752599999999998</v>
      </c>
      <c r="D45" s="1">
        <v>3741.96</v>
      </c>
      <c r="E45" s="1">
        <v>0.23970900000000001</v>
      </c>
      <c r="F45" s="1">
        <v>42.367800000000003</v>
      </c>
      <c r="I45" s="3">
        <v>42979</v>
      </c>
    </row>
    <row r="46" spans="1:9" x14ac:dyDescent="0.2">
      <c r="A46" s="1" t="s">
        <v>24</v>
      </c>
      <c r="B46" s="1">
        <v>13.091200000000001</v>
      </c>
      <c r="C46" s="1">
        <v>0.83741299999999996</v>
      </c>
      <c r="D46" s="1">
        <v>3742.41</v>
      </c>
      <c r="E46" s="1">
        <v>0.68558699999999995</v>
      </c>
      <c r="F46" s="1">
        <v>55.747100000000003</v>
      </c>
      <c r="I46" s="3">
        <v>43040</v>
      </c>
    </row>
    <row r="47" spans="1:9" x14ac:dyDescent="0.2">
      <c r="A47" s="1" t="s">
        <v>25</v>
      </c>
      <c r="B47" s="1">
        <v>23.334900000000001</v>
      </c>
      <c r="C47" s="1">
        <v>0.84001099999999995</v>
      </c>
      <c r="D47" s="1">
        <v>3742.66</v>
      </c>
      <c r="E47" s="1">
        <v>0.93440599999999996</v>
      </c>
      <c r="F47" s="1">
        <v>80.275800000000004</v>
      </c>
      <c r="I47" s="3">
        <v>43132</v>
      </c>
    </row>
    <row r="48" spans="1:9" x14ac:dyDescent="0.2">
      <c r="A48" s="1" t="s">
        <v>29</v>
      </c>
      <c r="B48" s="1">
        <v>0.93725499999999995</v>
      </c>
      <c r="C48" s="1">
        <v>0.31904399999999999</v>
      </c>
      <c r="D48" s="1">
        <v>3742.01</v>
      </c>
      <c r="E48" s="1">
        <v>0.28455999999999998</v>
      </c>
      <c r="F48" s="1">
        <v>46.827500000000001</v>
      </c>
      <c r="I48" s="3">
        <v>43313</v>
      </c>
    </row>
    <row r="49" spans="1:9" x14ac:dyDescent="0.2">
      <c r="A49" s="1" t="s">
        <v>128</v>
      </c>
      <c r="B49" s="1">
        <v>0.49277900000000002</v>
      </c>
      <c r="C49" s="1">
        <v>0.25752599999999998</v>
      </c>
      <c r="D49" s="1">
        <v>3741.96</v>
      </c>
      <c r="E49" s="1">
        <v>0.23970900000000001</v>
      </c>
      <c r="F49" s="1">
        <v>42.367800000000003</v>
      </c>
      <c r="I49" s="3">
        <v>43374</v>
      </c>
    </row>
    <row r="50" spans="1:9" x14ac:dyDescent="0.2">
      <c r="A50" s="1" t="s">
        <v>157</v>
      </c>
      <c r="B50" s="1">
        <v>7.3075599999999996</v>
      </c>
      <c r="C50" s="1">
        <v>0.59382699999999999</v>
      </c>
      <c r="D50" s="1">
        <v>3742.31</v>
      </c>
      <c r="E50" s="1">
        <v>0.59158299999999997</v>
      </c>
      <c r="F50" s="1">
        <v>71.356200000000001</v>
      </c>
      <c r="I50" s="3">
        <v>43435</v>
      </c>
    </row>
    <row r="51" spans="1:9" x14ac:dyDescent="0.2">
      <c r="A51" s="1" t="s">
        <v>134</v>
      </c>
      <c r="B51" s="1">
        <v>12.634399999999999</v>
      </c>
      <c r="C51" s="1">
        <v>0.91252800000000001</v>
      </c>
      <c r="D51" s="1">
        <v>3742.48</v>
      </c>
      <c r="E51" s="1">
        <v>0.75293200000000005</v>
      </c>
      <c r="F51" s="1">
        <v>44.5976</v>
      </c>
      <c r="I51" s="3">
        <v>43709</v>
      </c>
    </row>
    <row r="52" spans="1:9" x14ac:dyDescent="0.2">
      <c r="A52" s="1" t="s">
        <v>34</v>
      </c>
      <c r="B52" s="1">
        <v>12.634399999999999</v>
      </c>
      <c r="C52" s="1">
        <v>0.91252800000000001</v>
      </c>
      <c r="D52" s="1">
        <v>3742.48</v>
      </c>
      <c r="E52" s="1">
        <v>0.75293200000000005</v>
      </c>
      <c r="F52" s="1">
        <v>44.5976</v>
      </c>
      <c r="I52" s="3">
        <v>43952</v>
      </c>
    </row>
    <row r="56" spans="1:9" x14ac:dyDescent="0.2">
      <c r="A56" s="1" t="s">
        <v>175</v>
      </c>
      <c r="B56" s="2">
        <f>AVERAGE(B2:B52)</f>
        <v>10.533178235294116</v>
      </c>
      <c r="C56" s="2">
        <f t="shared" ref="C56:F56" si="22">AVERAGE(C2:C52)</f>
        <v>0.67193029411764738</v>
      </c>
      <c r="D56" s="2">
        <f t="shared" si="22"/>
        <v>3742.302156862746</v>
      </c>
      <c r="E56" s="2">
        <f t="shared" si="22"/>
        <v>0.57877649019607846</v>
      </c>
      <c r="F56" s="2">
        <f t="shared" si="22"/>
        <v>37.820563333333325</v>
      </c>
    </row>
    <row r="57" spans="1:9" x14ac:dyDescent="0.2">
      <c r="A57" s="1" t="s">
        <v>176</v>
      </c>
      <c r="B57" s="2">
        <f>MIN(B2:B52)</f>
        <v>0.37614399999999998</v>
      </c>
      <c r="C57" s="2">
        <f t="shared" ref="C57:F57" si="23">MIN(C2:C52)</f>
        <v>0.25079899999999999</v>
      </c>
      <c r="D57" s="2">
        <f t="shared" si="23"/>
        <v>3741.9</v>
      </c>
      <c r="E57" s="2">
        <f t="shared" si="23"/>
        <v>0.178755</v>
      </c>
      <c r="F57" s="2">
        <f t="shared" si="23"/>
        <v>8.91953</v>
      </c>
    </row>
    <row r="58" spans="1:9" x14ac:dyDescent="0.2">
      <c r="A58" s="1" t="s">
        <v>177</v>
      </c>
      <c r="B58" s="2">
        <f>MAX(B2:B52)</f>
        <v>98.165300000000002</v>
      </c>
      <c r="C58" s="2">
        <f t="shared" ref="C58:F58" si="24">MAX(C2:C52)</f>
        <v>1.2297199999999999</v>
      </c>
      <c r="D58" s="2">
        <f t="shared" si="24"/>
        <v>3743.3</v>
      </c>
      <c r="E58" s="2">
        <f t="shared" si="24"/>
        <v>1.57612</v>
      </c>
      <c r="F58" s="2">
        <f t="shared" si="24"/>
        <v>109.264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7BAC-0EB6-498A-B824-A661ADADF04C}">
  <dimension ref="A1:P112"/>
  <sheetViews>
    <sheetView tabSelected="1" topLeftCell="A73" workbookViewId="0">
      <selection activeCell="B112" sqref="B112:F112"/>
    </sheetView>
  </sheetViews>
  <sheetFormatPr defaultRowHeight="14.25" x14ac:dyDescent="0.2"/>
  <cols>
    <col min="1" max="1" width="50.25" style="1" bestFit="1" customWidth="1"/>
    <col min="2" max="2" width="10.375" style="1" bestFit="1" customWidth="1"/>
    <col min="3" max="3" width="16.375" style="1" bestFit="1" customWidth="1"/>
    <col min="4" max="4" width="13.625" style="1" bestFit="1" customWidth="1"/>
    <col min="5" max="5" width="14.625" style="1" bestFit="1" customWidth="1"/>
    <col min="6" max="6" width="14.375" style="1" bestFit="1" customWidth="1"/>
    <col min="7" max="8" width="9" style="1"/>
    <col min="9" max="9" width="12" style="1" customWidth="1"/>
    <col min="10" max="10" width="9" style="1"/>
    <col min="11" max="11" width="13" style="1" bestFit="1" customWidth="1"/>
    <col min="12" max="12" width="12.75" style="1" bestFit="1" customWidth="1"/>
    <col min="13" max="13" width="16.375" style="1" bestFit="1" customWidth="1"/>
    <col min="14" max="14" width="13.625" style="1" bestFit="1" customWidth="1"/>
    <col min="15" max="15" width="14.625" style="1" bestFit="1" customWidth="1"/>
    <col min="16" max="16" width="14.375" style="1" bestFit="1" customWidth="1"/>
    <col min="17" max="16384" width="9" style="1"/>
  </cols>
  <sheetData>
    <row r="1" spans="1:16" x14ac:dyDescent="0.2">
      <c r="A1" s="1" t="s">
        <v>158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178</v>
      </c>
      <c r="K1" s="1" t="s">
        <v>183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</row>
    <row r="2" spans="1:16" x14ac:dyDescent="0.2">
      <c r="A2" s="1" t="s">
        <v>37</v>
      </c>
      <c r="B2" s="1">
        <v>72.859800000000007</v>
      </c>
      <c r="C2" s="1">
        <v>1.06562</v>
      </c>
      <c r="D2" s="1">
        <v>3626.34</v>
      </c>
      <c r="E2" s="1">
        <v>3.5406200000000001</v>
      </c>
      <c r="F2" s="1">
        <v>37.442300000000003</v>
      </c>
      <c r="I2" s="3">
        <v>36342</v>
      </c>
      <c r="K2" s="1">
        <v>1999</v>
      </c>
      <c r="L2" s="1">
        <f>AVERAGE(B2:B3)</f>
        <v>104.8674</v>
      </c>
      <c r="M2" s="1">
        <f t="shared" ref="M2:P2" si="0">AVERAGE(C2:C3)</f>
        <v>1.07959</v>
      </c>
      <c r="N2" s="1">
        <f t="shared" si="0"/>
        <v>3626.91</v>
      </c>
      <c r="O2" s="1">
        <f t="shared" si="0"/>
        <v>4.1080550000000002</v>
      </c>
      <c r="P2" s="1">
        <f t="shared" si="0"/>
        <v>52.003149999999998</v>
      </c>
    </row>
    <row r="3" spans="1:16" x14ac:dyDescent="0.2">
      <c r="A3" s="1" t="s">
        <v>38</v>
      </c>
      <c r="B3" s="1">
        <v>136.875</v>
      </c>
      <c r="C3" s="1">
        <v>1.0935600000000001</v>
      </c>
      <c r="D3" s="1">
        <v>3627.48</v>
      </c>
      <c r="E3" s="1">
        <v>4.6754899999999999</v>
      </c>
      <c r="F3" s="1">
        <v>66.563999999999993</v>
      </c>
      <c r="I3" s="3">
        <v>36404</v>
      </c>
      <c r="K3" s="1">
        <v>2000</v>
      </c>
      <c r="L3" s="1">
        <f>AVERAGE(B4:B9)</f>
        <v>127.92316666666666</v>
      </c>
      <c r="M3" s="1">
        <f t="shared" ref="M3:P3" si="1">AVERAGE(C4:C9)</f>
        <v>1.0991116666666667</v>
      </c>
      <c r="N3" s="1">
        <f t="shared" si="1"/>
        <v>3627.3283333333334</v>
      </c>
      <c r="O3" s="1">
        <f t="shared" si="1"/>
        <v>4.5246616666666659</v>
      </c>
      <c r="P3" s="1">
        <f t="shared" si="1"/>
        <v>62.403766666666662</v>
      </c>
    </row>
    <row r="4" spans="1:16" x14ac:dyDescent="0.2">
      <c r="A4" s="1" t="s">
        <v>39</v>
      </c>
      <c r="B4" s="1">
        <v>129.03</v>
      </c>
      <c r="C4" s="1">
        <v>1.1253500000000001</v>
      </c>
      <c r="D4" s="1">
        <v>3627.31</v>
      </c>
      <c r="E4" s="1">
        <v>4.5053099999999997</v>
      </c>
      <c r="F4" s="1">
        <v>58.243499999999997</v>
      </c>
      <c r="I4" s="3">
        <v>36617</v>
      </c>
      <c r="K4" s="1">
        <v>2001</v>
      </c>
      <c r="L4" s="1">
        <f>AVERAGE(B10:B15)</f>
        <v>125.12566666666667</v>
      </c>
      <c r="M4" s="1">
        <f t="shared" ref="M4:P4" si="2">AVERAGE(C10:C15)</f>
        <v>1.1074433333333336</v>
      </c>
      <c r="N4" s="1">
        <f t="shared" si="2"/>
        <v>3627.271666666667</v>
      </c>
      <c r="O4" s="1">
        <f t="shared" si="2"/>
        <v>4.4685166666666669</v>
      </c>
      <c r="P4" s="1">
        <f t="shared" si="2"/>
        <v>58.936916666666662</v>
      </c>
    </row>
    <row r="5" spans="1:16" x14ac:dyDescent="0.2">
      <c r="A5" s="1" t="s">
        <v>40</v>
      </c>
      <c r="B5" s="1">
        <v>129.03</v>
      </c>
      <c r="C5" s="1">
        <v>1.1253500000000001</v>
      </c>
      <c r="D5" s="1">
        <v>3627.31</v>
      </c>
      <c r="E5" s="1">
        <v>4.5053099999999997</v>
      </c>
      <c r="F5" s="1">
        <v>58.243499999999997</v>
      </c>
      <c r="I5" s="3">
        <v>36647</v>
      </c>
      <c r="K5" s="1">
        <v>2002</v>
      </c>
      <c r="L5" s="1">
        <f>AVERAGE(B16:B19)</f>
        <v>104.52737500000001</v>
      </c>
      <c r="M5" s="1">
        <f t="shared" ref="M5:P5" si="3">AVERAGE(C16:C19)</f>
        <v>1.0878524999999999</v>
      </c>
      <c r="N5" s="1">
        <f t="shared" si="3"/>
        <v>3626.94</v>
      </c>
      <c r="O5" s="1">
        <f t="shared" si="3"/>
        <v>4.1354449999999998</v>
      </c>
      <c r="P5" s="1">
        <f t="shared" si="3"/>
        <v>50.963075000000003</v>
      </c>
    </row>
    <row r="6" spans="1:16" x14ac:dyDescent="0.2">
      <c r="A6" s="1" t="s">
        <v>137</v>
      </c>
      <c r="B6" s="1">
        <v>114.373</v>
      </c>
      <c r="C6" s="1">
        <v>1.1049500000000001</v>
      </c>
      <c r="D6" s="1">
        <v>3627.11</v>
      </c>
      <c r="E6" s="1">
        <v>4.3069899999999999</v>
      </c>
      <c r="F6" s="1">
        <v>54.083300000000001</v>
      </c>
      <c r="I6" s="3">
        <v>36739</v>
      </c>
      <c r="K6" s="1">
        <v>2003</v>
      </c>
      <c r="L6" s="1">
        <f>AVERAGE(B20:B23)</f>
        <v>125.9665</v>
      </c>
      <c r="M6" s="1">
        <f t="shared" ref="M6:P6" si="4">AVERAGE(C20:C23)</f>
        <v>1.0997525000000001</v>
      </c>
      <c r="N6" s="1">
        <f t="shared" si="4"/>
        <v>3627.2825000000003</v>
      </c>
      <c r="O6" s="1">
        <f t="shared" si="4"/>
        <v>4.4795599999999993</v>
      </c>
      <c r="P6" s="1">
        <f t="shared" si="4"/>
        <v>60.323650000000001</v>
      </c>
    </row>
    <row r="7" spans="1:16" x14ac:dyDescent="0.2">
      <c r="A7" s="1" t="s">
        <v>41</v>
      </c>
      <c r="B7" s="1">
        <v>114.373</v>
      </c>
      <c r="C7" s="1">
        <v>1.1049500000000001</v>
      </c>
      <c r="D7" s="1">
        <v>3627.11</v>
      </c>
      <c r="E7" s="1">
        <v>4.3069899999999999</v>
      </c>
      <c r="F7" s="1">
        <v>54.083300000000001</v>
      </c>
      <c r="I7" s="3">
        <v>36770</v>
      </c>
      <c r="K7" s="1">
        <v>2004</v>
      </c>
      <c r="L7" s="1">
        <f>AVERAGE(B24:B27)</f>
        <v>127.40350000000001</v>
      </c>
      <c r="M7" s="1">
        <f t="shared" ref="M7:P7" si="5">AVERAGE(C24:C27)</f>
        <v>1.1110424999999999</v>
      </c>
      <c r="N7" s="1">
        <f t="shared" si="5"/>
        <v>3627.2950000000001</v>
      </c>
      <c r="O7" s="1">
        <f t="shared" si="5"/>
        <v>4.4926250000000003</v>
      </c>
      <c r="P7" s="1">
        <f t="shared" si="5"/>
        <v>59.283599999999993</v>
      </c>
    </row>
    <row r="8" spans="1:16" x14ac:dyDescent="0.2">
      <c r="A8" s="1" t="s">
        <v>42</v>
      </c>
      <c r="B8" s="1">
        <v>129.03</v>
      </c>
      <c r="C8" s="1">
        <v>1.1253500000000001</v>
      </c>
      <c r="D8" s="1">
        <v>3627.31</v>
      </c>
      <c r="E8" s="1">
        <v>4.5053099999999997</v>
      </c>
      <c r="F8" s="1">
        <v>58.243499999999997</v>
      </c>
      <c r="I8" s="3">
        <v>36800</v>
      </c>
      <c r="K8" s="1">
        <v>2005</v>
      </c>
      <c r="L8" s="1">
        <f>AVERAGE(B28:B32)</f>
        <v>115.0729</v>
      </c>
      <c r="M8" s="1">
        <f t="shared" ref="M8:P8" si="6">AVERAGE(C28:C32)</f>
        <v>1.0976560000000002</v>
      </c>
      <c r="N8" s="1">
        <f t="shared" si="6"/>
        <v>3627.1039999999994</v>
      </c>
      <c r="O8" s="1">
        <f t="shared" si="6"/>
        <v>4.2993059999999996</v>
      </c>
      <c r="P8" s="1">
        <f t="shared" si="6"/>
        <v>54.915300000000002</v>
      </c>
    </row>
    <row r="9" spans="1:16" x14ac:dyDescent="0.2">
      <c r="A9" s="1" t="s">
        <v>159</v>
      </c>
      <c r="B9" s="1">
        <v>151.703</v>
      </c>
      <c r="C9" s="1">
        <v>1.0087200000000001</v>
      </c>
      <c r="D9" s="1">
        <v>3627.82</v>
      </c>
      <c r="E9" s="1">
        <v>5.0180600000000002</v>
      </c>
      <c r="F9" s="1">
        <v>91.525499999999994</v>
      </c>
      <c r="I9" s="3">
        <v>36831</v>
      </c>
      <c r="K9" s="1">
        <v>2006</v>
      </c>
      <c r="L9" s="1">
        <f>AVERAGE(B33:B36)</f>
        <v>120.739075</v>
      </c>
      <c r="M9" s="1">
        <f t="shared" ref="M9:P9" si="7">AVERAGE(C33:C36)</f>
        <v>1.1056725000000001</v>
      </c>
      <c r="N9" s="1">
        <f t="shared" si="7"/>
        <v>3627.1374999999998</v>
      </c>
      <c r="O9" s="1">
        <f t="shared" si="7"/>
        <v>4.3352899999999996</v>
      </c>
      <c r="P9" s="1">
        <f t="shared" si="7"/>
        <v>57.203474999999997</v>
      </c>
    </row>
    <row r="10" spans="1:16" x14ac:dyDescent="0.2">
      <c r="A10" s="1" t="s">
        <v>44</v>
      </c>
      <c r="B10" s="1">
        <v>135.96700000000001</v>
      </c>
      <c r="C10" s="1">
        <v>1.11839</v>
      </c>
      <c r="D10" s="1">
        <v>3627.42</v>
      </c>
      <c r="E10" s="1">
        <v>4.6195700000000004</v>
      </c>
      <c r="F10" s="1">
        <v>62.403799999999997</v>
      </c>
      <c r="I10" s="3">
        <v>36982</v>
      </c>
      <c r="K10" s="1">
        <v>2007</v>
      </c>
      <c r="L10" s="1">
        <f>AVERAGE(B37:B43)</f>
        <v>105.4575142857143</v>
      </c>
      <c r="M10" s="1">
        <f t="shared" ref="M10:P10" si="8">AVERAGE(C37:C43)</f>
        <v>1.0860214285714287</v>
      </c>
      <c r="N10" s="1">
        <f t="shared" si="8"/>
        <v>3626.9199999999996</v>
      </c>
      <c r="O10" s="1">
        <f t="shared" si="8"/>
        <v>4.1173057142857141</v>
      </c>
      <c r="P10" s="1">
        <f t="shared" si="8"/>
        <v>51.706000000000003</v>
      </c>
    </row>
    <row r="11" spans="1:16" x14ac:dyDescent="0.2">
      <c r="A11" s="1" t="s">
        <v>45</v>
      </c>
      <c r="B11" s="1">
        <v>114.373</v>
      </c>
      <c r="C11" s="1">
        <v>1.1049500000000001</v>
      </c>
      <c r="D11" s="1">
        <v>3627.11</v>
      </c>
      <c r="E11" s="1">
        <v>4.3069899999999999</v>
      </c>
      <c r="F11" s="1">
        <v>54.083300000000001</v>
      </c>
      <c r="I11" s="3">
        <v>37043</v>
      </c>
      <c r="K11" s="1">
        <v>2008</v>
      </c>
      <c r="L11" s="1">
        <f>AVERAGE(B43:B46)</f>
        <v>110.68774999999999</v>
      </c>
      <c r="M11" s="1">
        <f t="shared" ref="M11:P11" si="9">AVERAGE(C43:C46)</f>
        <v>1.0774775000000001</v>
      </c>
      <c r="N11" s="1">
        <f t="shared" si="9"/>
        <v>3627</v>
      </c>
      <c r="O11" s="1">
        <f t="shared" si="9"/>
        <v>4.1981675000000003</v>
      </c>
      <c r="P11" s="1">
        <f t="shared" si="9"/>
        <v>55.123325000000001</v>
      </c>
    </row>
    <row r="12" spans="1:16" x14ac:dyDescent="0.2">
      <c r="A12" s="1" t="s">
        <v>46</v>
      </c>
      <c r="B12" s="1">
        <v>114.373</v>
      </c>
      <c r="C12" s="1">
        <v>1.1049500000000001</v>
      </c>
      <c r="D12" s="1">
        <v>3627.11</v>
      </c>
      <c r="E12" s="1">
        <v>4.3069899999999999</v>
      </c>
      <c r="F12" s="1">
        <v>54.083300000000001</v>
      </c>
      <c r="I12" s="3">
        <v>37104</v>
      </c>
      <c r="K12" s="1">
        <v>2009</v>
      </c>
      <c r="L12" s="1">
        <f>AVERAGE(B48:B53)</f>
        <v>116.81141666666667</v>
      </c>
      <c r="M12" s="1">
        <f t="shared" ref="M12:P12" si="10">AVERAGE(C48:C53)</f>
        <v>1.0815866666666667</v>
      </c>
      <c r="N12" s="1">
        <f t="shared" si="10"/>
        <v>3627.1483333333331</v>
      </c>
      <c r="O12" s="1">
        <f t="shared" si="10"/>
        <v>4.3457116666666673</v>
      </c>
      <c r="P12" s="1">
        <f t="shared" si="10"/>
        <v>58.936900000000001</v>
      </c>
    </row>
    <row r="13" spans="1:16" x14ac:dyDescent="0.2">
      <c r="A13" s="1" t="s">
        <v>47</v>
      </c>
      <c r="B13" s="1">
        <v>114.373</v>
      </c>
      <c r="C13" s="1">
        <v>1.1049500000000001</v>
      </c>
      <c r="D13" s="1">
        <v>3627.11</v>
      </c>
      <c r="E13" s="1">
        <v>4.3069899999999999</v>
      </c>
      <c r="F13" s="1">
        <v>54.083300000000001</v>
      </c>
      <c r="I13" s="3">
        <v>37135</v>
      </c>
      <c r="K13" s="1">
        <v>2010</v>
      </c>
      <c r="L13" s="1">
        <f>AVERAGE(B54:B55)</f>
        <v>111.4054</v>
      </c>
      <c r="M13" s="1">
        <f t="shared" ref="M13:P13" si="11">AVERAGE(C54:C55)</f>
        <v>1.025237</v>
      </c>
      <c r="N13" s="1">
        <f t="shared" si="11"/>
        <v>3627.09</v>
      </c>
      <c r="O13" s="1">
        <f t="shared" si="11"/>
        <v>4.2899650000000005</v>
      </c>
      <c r="P13" s="1">
        <f t="shared" si="11"/>
        <v>66.564050000000009</v>
      </c>
    </row>
    <row r="14" spans="1:16" x14ac:dyDescent="0.2">
      <c r="A14" s="1" t="s">
        <v>48</v>
      </c>
      <c r="B14" s="1">
        <v>129.03</v>
      </c>
      <c r="C14" s="1">
        <v>1.1253500000000001</v>
      </c>
      <c r="D14" s="1">
        <v>3627.31</v>
      </c>
      <c r="E14" s="1">
        <v>4.5053099999999997</v>
      </c>
      <c r="F14" s="1">
        <v>58.243499999999997</v>
      </c>
      <c r="I14" s="3">
        <v>37165</v>
      </c>
      <c r="K14" s="1">
        <v>2011</v>
      </c>
      <c r="L14" s="1">
        <f>AVERAGE(B56:B61)</f>
        <v>82.219733333333338</v>
      </c>
      <c r="M14" s="1">
        <f t="shared" ref="M14:P14" si="12">AVERAGE(C56:C61)</f>
        <v>1.0651933333333334</v>
      </c>
      <c r="N14" s="1">
        <f t="shared" si="12"/>
        <v>3626.4716666666668</v>
      </c>
      <c r="O14" s="1">
        <f t="shared" si="12"/>
        <v>3.6694100000000005</v>
      </c>
      <c r="P14" s="1">
        <f t="shared" si="12"/>
        <v>41.602516666666666</v>
      </c>
    </row>
    <row r="15" spans="1:16" x14ac:dyDescent="0.2">
      <c r="A15" s="1" t="s">
        <v>49</v>
      </c>
      <c r="B15" s="1">
        <v>142.63800000000001</v>
      </c>
      <c r="C15" s="1">
        <v>1.0860700000000001</v>
      </c>
      <c r="D15" s="1">
        <v>3627.57</v>
      </c>
      <c r="E15" s="1">
        <v>4.76525</v>
      </c>
      <c r="F15" s="1">
        <v>70.724299999999999</v>
      </c>
      <c r="I15" s="3">
        <v>37196</v>
      </c>
      <c r="K15" s="1">
        <v>2012</v>
      </c>
      <c r="L15" s="1">
        <f>AVERAGE(B62:B67)</f>
        <v>104.48360000000001</v>
      </c>
      <c r="M15" s="1">
        <f t="shared" ref="M15:P15" si="13">AVERAGE(C62:C67)</f>
        <v>1.0812716666666669</v>
      </c>
      <c r="N15" s="1">
        <f t="shared" si="13"/>
        <v>3626.8650000000002</v>
      </c>
      <c r="O15" s="1">
        <f t="shared" si="13"/>
        <v>4.060835</v>
      </c>
      <c r="P15" s="1">
        <f t="shared" si="13"/>
        <v>51.309766666666668</v>
      </c>
    </row>
    <row r="16" spans="1:16" x14ac:dyDescent="0.2">
      <c r="A16" s="1" t="s">
        <v>50</v>
      </c>
      <c r="B16" s="1">
        <v>135.96700000000001</v>
      </c>
      <c r="C16" s="1">
        <v>1.11839</v>
      </c>
      <c r="D16" s="1">
        <v>3627.42</v>
      </c>
      <c r="E16" s="1">
        <v>4.6195700000000004</v>
      </c>
      <c r="F16" s="1">
        <v>62.403799999999997</v>
      </c>
      <c r="I16" s="3">
        <v>37347</v>
      </c>
      <c r="K16" s="1">
        <v>2013</v>
      </c>
      <c r="L16" s="1">
        <f>AVERAGE(B68:B73)</f>
        <v>98.836566666666656</v>
      </c>
      <c r="M16" s="1">
        <f t="shared" ref="M16:P16" si="14">AVERAGE(C68:C73)</f>
        <v>1.0840000000000001</v>
      </c>
      <c r="N16" s="1">
        <f t="shared" si="14"/>
        <v>3626.77</v>
      </c>
      <c r="O16" s="1">
        <f t="shared" si="14"/>
        <v>3.969006666666667</v>
      </c>
      <c r="P16" s="1">
        <f t="shared" si="14"/>
        <v>48.53628333333333</v>
      </c>
    </row>
    <row r="17" spans="1:16" x14ac:dyDescent="0.2">
      <c r="A17" s="1" t="s">
        <v>51</v>
      </c>
      <c r="B17" s="1">
        <v>78.716499999999996</v>
      </c>
      <c r="C17" s="1">
        <v>1.0550200000000001</v>
      </c>
      <c r="D17" s="1">
        <v>3626.5</v>
      </c>
      <c r="E17" s="1">
        <v>3.6986300000000001</v>
      </c>
      <c r="F17" s="1">
        <v>41.602499999999999</v>
      </c>
      <c r="I17" s="3">
        <v>37408</v>
      </c>
      <c r="K17" s="1">
        <v>2014</v>
      </c>
      <c r="L17" s="1">
        <f>AVERAGE(B74:B79)</f>
        <v>107.91271666666667</v>
      </c>
      <c r="M17" s="1">
        <f t="shared" ref="M17:P17" si="15">AVERAGE(C74:C79)</f>
        <v>1.0910733333333333</v>
      </c>
      <c r="N17" s="1">
        <f t="shared" si="15"/>
        <v>3626.9749999999999</v>
      </c>
      <c r="O17" s="1">
        <f t="shared" si="15"/>
        <v>4.1717649999999997</v>
      </c>
      <c r="P17" s="1">
        <f t="shared" si="15"/>
        <v>52.696533333333328</v>
      </c>
    </row>
    <row r="18" spans="1:16" x14ac:dyDescent="0.2">
      <c r="A18" s="1" t="s">
        <v>52</v>
      </c>
      <c r="B18" s="1">
        <v>101.71299999999999</v>
      </c>
      <c r="C18" s="1">
        <v>1.089</v>
      </c>
      <c r="D18" s="1">
        <v>3626.92</v>
      </c>
      <c r="E18" s="1">
        <v>4.1117900000000001</v>
      </c>
      <c r="F18" s="1">
        <v>49.923000000000002</v>
      </c>
      <c r="I18" s="3">
        <v>37469</v>
      </c>
      <c r="K18" s="1">
        <v>2015</v>
      </c>
      <c r="L18" s="1">
        <f>AVERAGE(B80:B83)</f>
        <v>110.333375</v>
      </c>
      <c r="M18" s="1">
        <f t="shared" ref="M18:P18" si="16">AVERAGE(C80:C83)</f>
        <v>1.0900399999999999</v>
      </c>
      <c r="N18" s="1">
        <f t="shared" si="16"/>
        <v>3626.915</v>
      </c>
      <c r="O18" s="1">
        <f t="shared" si="16"/>
        <v>4.1114800000000002</v>
      </c>
      <c r="P18" s="1">
        <f t="shared" si="16"/>
        <v>54.083299999999994</v>
      </c>
    </row>
    <row r="19" spans="1:16" x14ac:dyDescent="0.2">
      <c r="A19" s="1" t="s">
        <v>53</v>
      </c>
      <c r="B19" s="1">
        <v>101.71299999999999</v>
      </c>
      <c r="C19" s="1">
        <v>1.089</v>
      </c>
      <c r="D19" s="1">
        <v>3626.92</v>
      </c>
      <c r="E19" s="1">
        <v>4.1117900000000001</v>
      </c>
      <c r="F19" s="1">
        <v>49.923000000000002</v>
      </c>
      <c r="I19" s="3">
        <v>37530</v>
      </c>
      <c r="K19" s="1">
        <v>2016</v>
      </c>
      <c r="L19" s="1">
        <f>AVERAGE(B84:B87)</f>
        <v>112.298675</v>
      </c>
      <c r="M19" s="1">
        <f t="shared" ref="M19:P19" si="17">AVERAGE(C84:C87)</f>
        <v>1.1201825000000001</v>
      </c>
      <c r="N19" s="1">
        <f t="shared" si="17"/>
        <v>3626.9749999999999</v>
      </c>
      <c r="O19" s="1">
        <f t="shared" si="17"/>
        <v>4.1698149999999998</v>
      </c>
      <c r="P19" s="1">
        <f t="shared" si="17"/>
        <v>50.963075000000003</v>
      </c>
    </row>
    <row r="20" spans="1:16" x14ac:dyDescent="0.2">
      <c r="A20" s="1" t="s">
        <v>55</v>
      </c>
      <c r="B20" s="1">
        <v>151.81299999999999</v>
      </c>
      <c r="C20" s="1">
        <v>1.08667</v>
      </c>
      <c r="D20" s="1">
        <v>3627.68</v>
      </c>
      <c r="E20" s="1">
        <v>4.8798899999999996</v>
      </c>
      <c r="F20" s="1">
        <v>74.884500000000003</v>
      </c>
      <c r="I20" s="3">
        <v>37653</v>
      </c>
      <c r="K20" s="1">
        <v>2017</v>
      </c>
      <c r="L20" s="1">
        <f>AVERAGE(B88:B90)</f>
        <v>92.294766666666661</v>
      </c>
      <c r="M20" s="1">
        <f t="shared" ref="M20:P20" si="18">AVERAGE(C88:C90)</f>
        <v>1.0965733333333334</v>
      </c>
      <c r="N20" s="1">
        <f t="shared" si="18"/>
        <v>3626.69</v>
      </c>
      <c r="O20" s="1">
        <f t="shared" si="18"/>
        <v>3.8880466666666664</v>
      </c>
      <c r="P20" s="1">
        <f t="shared" si="18"/>
        <v>44.376033333333332</v>
      </c>
    </row>
    <row r="21" spans="1:16" x14ac:dyDescent="0.2">
      <c r="A21" s="1" t="s">
        <v>56</v>
      </c>
      <c r="B21" s="1">
        <v>101.71299999999999</v>
      </c>
      <c r="C21" s="1">
        <v>1.089</v>
      </c>
      <c r="D21" s="1">
        <v>3626.92</v>
      </c>
      <c r="E21" s="1">
        <v>4.1117900000000001</v>
      </c>
      <c r="F21" s="1">
        <v>49.923000000000002</v>
      </c>
      <c r="I21" s="3">
        <v>37712</v>
      </c>
      <c r="K21" s="1">
        <v>2018</v>
      </c>
      <c r="L21" s="1">
        <f>AVERAGE(B91:B97)</f>
        <v>119.85357142857141</v>
      </c>
      <c r="M21" s="1">
        <f t="shared" ref="M21:P21" si="19">AVERAGE(C91:C97)</f>
        <v>1.1012657142857143</v>
      </c>
      <c r="N21" s="1">
        <f t="shared" si="19"/>
        <v>3627.1914285714288</v>
      </c>
      <c r="O21" s="1">
        <f t="shared" si="19"/>
        <v>4.3865842857142852</v>
      </c>
      <c r="P21" s="1">
        <f t="shared" si="19"/>
        <v>57.054871428571417</v>
      </c>
    </row>
    <row r="22" spans="1:16" x14ac:dyDescent="0.2">
      <c r="A22" s="1" t="s">
        <v>57</v>
      </c>
      <c r="B22" s="1">
        <v>114.373</v>
      </c>
      <c r="C22" s="1">
        <v>1.1049500000000001</v>
      </c>
      <c r="D22" s="1">
        <v>3627.11</v>
      </c>
      <c r="E22" s="1">
        <v>4.3069899999999999</v>
      </c>
      <c r="F22" s="1">
        <v>54.083300000000001</v>
      </c>
      <c r="I22" s="3">
        <v>37742</v>
      </c>
      <c r="K22" s="1">
        <v>2019</v>
      </c>
      <c r="L22" s="1">
        <f>AVERAGE(B98:B101)</f>
        <v>98.352649999999997</v>
      </c>
      <c r="M22" s="1">
        <f t="shared" ref="M22:P22" si="20">AVERAGE(C98:C101)</f>
        <v>1.0749474999999999</v>
      </c>
      <c r="N22" s="1">
        <f t="shared" si="20"/>
        <v>3626.75</v>
      </c>
      <c r="O22" s="1">
        <f t="shared" si="20"/>
        <v>3.9482724999999999</v>
      </c>
      <c r="P22" s="1">
        <f t="shared" si="20"/>
        <v>49.923024999999996</v>
      </c>
    </row>
    <row r="23" spans="1:16" x14ac:dyDescent="0.2">
      <c r="A23" s="1" t="s">
        <v>58</v>
      </c>
      <c r="B23" s="1">
        <v>135.96700000000001</v>
      </c>
      <c r="C23" s="1">
        <v>1.11839</v>
      </c>
      <c r="D23" s="1">
        <v>3627.42</v>
      </c>
      <c r="E23" s="1">
        <v>4.6195700000000004</v>
      </c>
      <c r="F23" s="1">
        <v>62.403799999999997</v>
      </c>
      <c r="I23" s="3">
        <v>37803</v>
      </c>
      <c r="K23" s="1">
        <v>2020</v>
      </c>
      <c r="L23" s="1">
        <f>AVERAGE(B102:B106)</f>
        <v>99.528059999999996</v>
      </c>
      <c r="M23" s="1">
        <f t="shared" ref="M23:P23" si="21">AVERAGE(C102:C106)</f>
        <v>1.0769419999999998</v>
      </c>
      <c r="N23" s="1">
        <f t="shared" si="21"/>
        <v>3626.85</v>
      </c>
      <c r="O23" s="1">
        <f t="shared" si="21"/>
        <v>4.0456160000000008</v>
      </c>
      <c r="P23" s="1">
        <f t="shared" si="21"/>
        <v>49.923020000000001</v>
      </c>
    </row>
    <row r="24" spans="1:16" x14ac:dyDescent="0.2">
      <c r="A24" s="1" t="s">
        <v>61</v>
      </c>
      <c r="B24" s="1">
        <v>135.96700000000001</v>
      </c>
      <c r="C24" s="1">
        <v>1.11839</v>
      </c>
      <c r="D24" s="1">
        <v>3627.42</v>
      </c>
      <c r="E24" s="1">
        <v>4.6195700000000004</v>
      </c>
      <c r="F24" s="1">
        <v>62.403799999999997</v>
      </c>
      <c r="I24" s="3">
        <v>38200</v>
      </c>
    </row>
    <row r="25" spans="1:16" x14ac:dyDescent="0.2">
      <c r="A25" s="1" t="s">
        <v>62</v>
      </c>
      <c r="B25" s="1">
        <v>101.71299999999999</v>
      </c>
      <c r="C25" s="1">
        <v>1.089</v>
      </c>
      <c r="D25" s="1">
        <v>3626.92</v>
      </c>
      <c r="E25" s="1">
        <v>4.1117900000000001</v>
      </c>
      <c r="F25" s="1">
        <v>49.923000000000002</v>
      </c>
      <c r="I25" s="3">
        <v>38231</v>
      </c>
    </row>
    <row r="26" spans="1:16" x14ac:dyDescent="0.2">
      <c r="A26" s="1" t="s">
        <v>63</v>
      </c>
      <c r="B26" s="1">
        <v>135.96700000000001</v>
      </c>
      <c r="C26" s="1">
        <v>1.11839</v>
      </c>
      <c r="D26" s="1">
        <v>3627.42</v>
      </c>
      <c r="E26" s="1">
        <v>4.6195700000000004</v>
      </c>
      <c r="F26" s="1">
        <v>62.403799999999997</v>
      </c>
      <c r="I26" s="3">
        <v>38261</v>
      </c>
    </row>
    <row r="27" spans="1:16" x14ac:dyDescent="0.2">
      <c r="A27" s="1" t="s">
        <v>64</v>
      </c>
      <c r="B27" s="1">
        <v>135.96700000000001</v>
      </c>
      <c r="C27" s="1">
        <v>1.11839</v>
      </c>
      <c r="D27" s="1">
        <v>3627.42</v>
      </c>
      <c r="E27" s="1">
        <v>4.6195700000000004</v>
      </c>
      <c r="F27" s="1">
        <v>62.403799999999997</v>
      </c>
      <c r="I27" s="3">
        <v>38292</v>
      </c>
    </row>
    <row r="28" spans="1:16" x14ac:dyDescent="0.2">
      <c r="A28" s="1" t="s">
        <v>65</v>
      </c>
      <c r="B28" s="1">
        <v>136.875</v>
      </c>
      <c r="C28" s="1">
        <v>1.0935600000000001</v>
      </c>
      <c r="D28" s="1">
        <v>3627.48</v>
      </c>
      <c r="E28" s="1">
        <v>4.6754899999999999</v>
      </c>
      <c r="F28" s="1">
        <v>66.563999999999993</v>
      </c>
      <c r="I28" s="3">
        <v>38443</v>
      </c>
    </row>
    <row r="29" spans="1:16" x14ac:dyDescent="0.2">
      <c r="A29" s="1" t="s">
        <v>138</v>
      </c>
      <c r="B29" s="1">
        <v>101.71299999999999</v>
      </c>
      <c r="C29" s="1">
        <v>1.089</v>
      </c>
      <c r="D29" s="1">
        <v>3626.92</v>
      </c>
      <c r="E29" s="1">
        <v>4.1117900000000001</v>
      </c>
      <c r="F29" s="1">
        <v>49.923000000000002</v>
      </c>
      <c r="I29" s="3">
        <v>38534</v>
      </c>
    </row>
    <row r="30" spans="1:16" x14ac:dyDescent="0.2">
      <c r="A30" s="1" t="s">
        <v>67</v>
      </c>
      <c r="B30" s="1">
        <v>129.03</v>
      </c>
      <c r="C30" s="1">
        <v>1.1253500000000001</v>
      </c>
      <c r="D30" s="1">
        <v>3627.31</v>
      </c>
      <c r="E30" s="1">
        <v>4.5053099999999997</v>
      </c>
      <c r="F30" s="1">
        <v>58.243499999999997</v>
      </c>
      <c r="I30" s="3">
        <v>38565</v>
      </c>
    </row>
    <row r="31" spans="1:16" x14ac:dyDescent="0.2">
      <c r="A31" s="1" t="s">
        <v>68</v>
      </c>
      <c r="B31" s="1">
        <v>129.03</v>
      </c>
      <c r="C31" s="1">
        <v>1.1253500000000001</v>
      </c>
      <c r="D31" s="1">
        <v>3627.31</v>
      </c>
      <c r="E31" s="1">
        <v>4.5053099999999997</v>
      </c>
      <c r="F31" s="1">
        <v>58.243499999999997</v>
      </c>
      <c r="I31" s="3">
        <v>38596</v>
      </c>
    </row>
    <row r="32" spans="1:16" x14ac:dyDescent="0.2">
      <c r="A32" s="1" t="s">
        <v>69</v>
      </c>
      <c r="B32" s="1">
        <v>78.716499999999996</v>
      </c>
      <c r="C32" s="1">
        <v>1.0550200000000001</v>
      </c>
      <c r="D32" s="1">
        <v>3626.5</v>
      </c>
      <c r="E32" s="1">
        <v>3.6986300000000001</v>
      </c>
      <c r="F32" s="1">
        <v>41.602499999999999</v>
      </c>
      <c r="I32" s="3">
        <v>38626</v>
      </c>
    </row>
    <row r="33" spans="1:9" x14ac:dyDescent="0.2">
      <c r="A33" s="1" t="s">
        <v>139</v>
      </c>
      <c r="B33" s="1">
        <v>114.373</v>
      </c>
      <c r="C33" s="1">
        <v>1.1049500000000001</v>
      </c>
      <c r="D33" s="1">
        <v>3627.11</v>
      </c>
      <c r="E33" s="1">
        <v>4.3069899999999999</v>
      </c>
      <c r="F33" s="1">
        <v>54.083300000000001</v>
      </c>
      <c r="I33" s="3">
        <v>38808</v>
      </c>
    </row>
    <row r="34" spans="1:9" x14ac:dyDescent="0.2">
      <c r="A34" s="1" t="s">
        <v>71</v>
      </c>
      <c r="B34" s="1">
        <v>135.96700000000001</v>
      </c>
      <c r="C34" s="1">
        <v>1.11839</v>
      </c>
      <c r="D34" s="1">
        <v>3627.42</v>
      </c>
      <c r="E34" s="1">
        <v>4.6195700000000004</v>
      </c>
      <c r="F34" s="1">
        <v>62.403799999999997</v>
      </c>
      <c r="I34" s="3">
        <v>38899</v>
      </c>
    </row>
    <row r="35" spans="1:9" x14ac:dyDescent="0.2">
      <c r="A35" s="1" t="s">
        <v>72</v>
      </c>
      <c r="B35" s="1">
        <v>161.184</v>
      </c>
      <c r="C35" s="1">
        <v>1.0916699999999999</v>
      </c>
      <c r="D35" s="1">
        <v>3627.79</v>
      </c>
      <c r="E35" s="1">
        <v>4.9831599999999998</v>
      </c>
      <c r="F35" s="1">
        <v>79.044799999999995</v>
      </c>
      <c r="I35" s="3">
        <v>38930</v>
      </c>
    </row>
    <row r="36" spans="1:9" x14ac:dyDescent="0.2">
      <c r="A36" s="1" t="s">
        <v>73</v>
      </c>
      <c r="B36" s="1">
        <v>71.432299999999998</v>
      </c>
      <c r="C36" s="1">
        <v>1.10768</v>
      </c>
      <c r="D36" s="1">
        <v>3626.23</v>
      </c>
      <c r="E36" s="1">
        <v>3.4314399999999998</v>
      </c>
      <c r="F36" s="1">
        <v>33.281999999999996</v>
      </c>
      <c r="I36" s="3">
        <v>38961</v>
      </c>
    </row>
    <row r="37" spans="1:9" x14ac:dyDescent="0.2">
      <c r="A37" s="1" t="s">
        <v>151</v>
      </c>
      <c r="B37" s="1">
        <v>72.859800000000007</v>
      </c>
      <c r="C37" s="1">
        <v>1.06562</v>
      </c>
      <c r="D37" s="1">
        <v>3626.34</v>
      </c>
      <c r="E37" s="1">
        <v>3.5406200000000001</v>
      </c>
      <c r="F37" s="1">
        <v>37.442300000000003</v>
      </c>
      <c r="I37" s="3">
        <v>39142</v>
      </c>
    </row>
    <row r="38" spans="1:9" x14ac:dyDescent="0.2">
      <c r="A38" s="1" t="s">
        <v>77</v>
      </c>
      <c r="B38" s="1">
        <v>114.373</v>
      </c>
      <c r="C38" s="1">
        <v>1.1049500000000001</v>
      </c>
      <c r="D38" s="1">
        <v>3627.11</v>
      </c>
      <c r="E38" s="1">
        <v>4.3069899999999999</v>
      </c>
      <c r="F38" s="1">
        <v>54.083300000000001</v>
      </c>
      <c r="I38" s="3">
        <v>39234</v>
      </c>
    </row>
    <row r="39" spans="1:9" x14ac:dyDescent="0.2">
      <c r="A39" s="1" t="s">
        <v>78</v>
      </c>
      <c r="B39" s="1">
        <v>91.078999999999994</v>
      </c>
      <c r="C39" s="1">
        <v>1.0770900000000001</v>
      </c>
      <c r="D39" s="1">
        <v>3626.73</v>
      </c>
      <c r="E39" s="1">
        <v>3.92571</v>
      </c>
      <c r="F39" s="1">
        <v>45.762799999999999</v>
      </c>
      <c r="I39" s="3">
        <v>39264</v>
      </c>
    </row>
    <row r="40" spans="1:9" x14ac:dyDescent="0.2">
      <c r="A40" s="1" t="s">
        <v>79</v>
      </c>
      <c r="B40" s="1">
        <v>101.71299999999999</v>
      </c>
      <c r="C40" s="1">
        <v>1.089</v>
      </c>
      <c r="D40" s="1">
        <v>3626.92</v>
      </c>
      <c r="E40" s="1">
        <v>4.1117900000000001</v>
      </c>
      <c r="F40" s="1">
        <v>49.923000000000002</v>
      </c>
      <c r="I40" s="3">
        <v>39295</v>
      </c>
    </row>
    <row r="41" spans="1:9" x14ac:dyDescent="0.2">
      <c r="A41" s="1" t="s">
        <v>80</v>
      </c>
      <c r="B41" s="1">
        <v>114.373</v>
      </c>
      <c r="C41" s="1">
        <v>1.1049500000000001</v>
      </c>
      <c r="D41" s="1">
        <v>3627.11</v>
      </c>
      <c r="E41" s="1">
        <v>4.3069899999999999</v>
      </c>
      <c r="F41" s="1">
        <v>54.083300000000001</v>
      </c>
      <c r="I41" s="3">
        <v>39326</v>
      </c>
    </row>
    <row r="42" spans="1:9" x14ac:dyDescent="0.2">
      <c r="A42" s="1" t="s">
        <v>81</v>
      </c>
      <c r="B42" s="1">
        <v>72.859800000000007</v>
      </c>
      <c r="C42" s="1">
        <v>1.06562</v>
      </c>
      <c r="D42" s="1">
        <v>3626.34</v>
      </c>
      <c r="E42" s="1">
        <v>3.5406200000000001</v>
      </c>
      <c r="F42" s="1">
        <v>37.442300000000003</v>
      </c>
      <c r="I42" s="3">
        <v>39356</v>
      </c>
    </row>
    <row r="43" spans="1:9" x14ac:dyDescent="0.2">
      <c r="A43" s="1" t="s">
        <v>153</v>
      </c>
      <c r="B43" s="1">
        <v>170.94499999999999</v>
      </c>
      <c r="C43" s="1">
        <v>1.0949199999999999</v>
      </c>
      <c r="D43" s="1">
        <v>3627.89</v>
      </c>
      <c r="E43" s="1">
        <v>5.0884200000000002</v>
      </c>
      <c r="F43" s="1">
        <v>83.204999999999998</v>
      </c>
      <c r="I43" s="3">
        <v>39417</v>
      </c>
    </row>
    <row r="44" spans="1:9" x14ac:dyDescent="0.2">
      <c r="A44" s="1" t="s">
        <v>83</v>
      </c>
      <c r="B44" s="1">
        <v>78.716499999999996</v>
      </c>
      <c r="C44" s="1">
        <v>1.0550200000000001</v>
      </c>
      <c r="D44" s="1">
        <v>3626.5</v>
      </c>
      <c r="E44" s="1">
        <v>3.6986300000000001</v>
      </c>
      <c r="F44" s="1">
        <v>41.602499999999999</v>
      </c>
      <c r="I44" s="3">
        <v>39508</v>
      </c>
    </row>
    <row r="45" spans="1:9" x14ac:dyDescent="0.2">
      <c r="A45" s="1" t="s">
        <v>84</v>
      </c>
      <c r="B45" s="1">
        <v>78.716499999999996</v>
      </c>
      <c r="C45" s="1">
        <v>1.0550200000000001</v>
      </c>
      <c r="D45" s="1">
        <v>3626.5</v>
      </c>
      <c r="E45" s="1">
        <v>3.6986300000000001</v>
      </c>
      <c r="F45" s="1">
        <v>41.602499999999999</v>
      </c>
      <c r="I45" s="3">
        <v>39600</v>
      </c>
    </row>
    <row r="46" spans="1:9" x14ac:dyDescent="0.2">
      <c r="A46" s="1" t="s">
        <v>85</v>
      </c>
      <c r="B46" s="1">
        <v>114.373</v>
      </c>
      <c r="C46" s="1">
        <v>1.1049500000000001</v>
      </c>
      <c r="D46" s="1">
        <v>3627.11</v>
      </c>
      <c r="E46" s="1">
        <v>4.3069899999999999</v>
      </c>
      <c r="F46" s="1">
        <v>54.083300000000001</v>
      </c>
      <c r="I46" s="3">
        <v>39630</v>
      </c>
    </row>
    <row r="47" spans="1:9" x14ac:dyDescent="0.2">
      <c r="A47" s="1" t="s">
        <v>154</v>
      </c>
      <c r="B47" s="1">
        <v>136.875</v>
      </c>
      <c r="C47" s="1">
        <v>1.0935600000000001</v>
      </c>
      <c r="D47" s="1">
        <v>3627.48</v>
      </c>
      <c r="E47" s="1">
        <v>4.6754899999999999</v>
      </c>
      <c r="F47" s="1">
        <v>66.563999999999993</v>
      </c>
      <c r="I47" s="3">
        <v>39783</v>
      </c>
    </row>
    <row r="48" spans="1:9" x14ac:dyDescent="0.2">
      <c r="A48" s="1" t="s">
        <v>88</v>
      </c>
      <c r="B48" s="1">
        <v>151.703</v>
      </c>
      <c r="C48" s="1">
        <v>1.0087200000000001</v>
      </c>
      <c r="D48" s="1">
        <v>3627.82</v>
      </c>
      <c r="E48" s="1">
        <v>5.0180600000000002</v>
      </c>
      <c r="F48" s="1">
        <v>91.525499999999994</v>
      </c>
      <c r="I48" s="3">
        <v>39814</v>
      </c>
    </row>
    <row r="49" spans="1:9" x14ac:dyDescent="0.2">
      <c r="A49" s="1" t="s">
        <v>89</v>
      </c>
      <c r="B49" s="1">
        <v>114.373</v>
      </c>
      <c r="C49" s="1">
        <v>1.1049500000000001</v>
      </c>
      <c r="D49" s="1">
        <v>3627.11</v>
      </c>
      <c r="E49" s="1">
        <v>4.3069899999999999</v>
      </c>
      <c r="F49" s="1">
        <v>54.083300000000001</v>
      </c>
      <c r="I49" s="3">
        <v>39873</v>
      </c>
    </row>
    <row r="50" spans="1:9" x14ac:dyDescent="0.2">
      <c r="A50" s="1" t="s">
        <v>90</v>
      </c>
      <c r="B50" s="1">
        <v>91.078999999999994</v>
      </c>
      <c r="C50" s="1">
        <v>1.0770900000000001</v>
      </c>
      <c r="D50" s="1">
        <v>3626.73</v>
      </c>
      <c r="E50" s="1">
        <v>3.92571</v>
      </c>
      <c r="F50" s="1">
        <v>45.762799999999999</v>
      </c>
      <c r="I50" s="3">
        <v>39934</v>
      </c>
    </row>
    <row r="51" spans="1:9" x14ac:dyDescent="0.2">
      <c r="A51" s="1" t="s">
        <v>91</v>
      </c>
      <c r="B51" s="1">
        <v>129.03</v>
      </c>
      <c r="C51" s="1">
        <v>1.1253500000000001</v>
      </c>
      <c r="D51" s="1">
        <v>3627.31</v>
      </c>
      <c r="E51" s="1">
        <v>4.5053099999999997</v>
      </c>
      <c r="F51" s="1">
        <v>58.243499999999997</v>
      </c>
      <c r="I51" s="3">
        <v>39995</v>
      </c>
    </row>
    <row r="52" spans="1:9" x14ac:dyDescent="0.2">
      <c r="A52" s="1" t="s">
        <v>92</v>
      </c>
      <c r="B52" s="1">
        <v>135.96700000000001</v>
      </c>
      <c r="C52" s="1">
        <v>1.11839</v>
      </c>
      <c r="D52" s="1">
        <v>3627.42</v>
      </c>
      <c r="E52" s="1">
        <v>4.6195700000000004</v>
      </c>
      <c r="F52" s="1">
        <v>62.403799999999997</v>
      </c>
      <c r="I52" s="3">
        <v>40026</v>
      </c>
    </row>
    <row r="53" spans="1:9" x14ac:dyDescent="0.2">
      <c r="A53" s="1" t="s">
        <v>93</v>
      </c>
      <c r="B53" s="1">
        <v>78.716499999999996</v>
      </c>
      <c r="C53" s="1">
        <v>1.0550200000000001</v>
      </c>
      <c r="D53" s="1">
        <v>3626.5</v>
      </c>
      <c r="E53" s="1">
        <v>3.6986300000000001</v>
      </c>
      <c r="F53" s="1">
        <v>41.602499999999999</v>
      </c>
      <c r="I53" s="3">
        <v>40057</v>
      </c>
    </row>
    <row r="54" spans="1:9" x14ac:dyDescent="0.2">
      <c r="A54" s="1" t="s">
        <v>98</v>
      </c>
      <c r="B54" s="1">
        <v>72.859800000000007</v>
      </c>
      <c r="C54" s="1">
        <v>1.06562</v>
      </c>
      <c r="D54" s="1">
        <v>3626.34</v>
      </c>
      <c r="E54" s="1">
        <v>3.5406200000000001</v>
      </c>
      <c r="F54" s="1">
        <v>37.442300000000003</v>
      </c>
      <c r="I54" s="3">
        <v>40452</v>
      </c>
    </row>
    <row r="55" spans="1:9" x14ac:dyDescent="0.2">
      <c r="A55" s="1" t="s">
        <v>100</v>
      </c>
      <c r="B55" s="1">
        <v>149.95099999999999</v>
      </c>
      <c r="C55" s="1">
        <v>0.98485400000000001</v>
      </c>
      <c r="D55" s="1">
        <v>3627.84</v>
      </c>
      <c r="E55" s="1">
        <v>5.0393100000000004</v>
      </c>
      <c r="F55" s="1">
        <v>95.6858</v>
      </c>
      <c r="I55" s="3">
        <v>40513</v>
      </c>
    </row>
    <row r="56" spans="1:9" x14ac:dyDescent="0.2">
      <c r="A56" s="1" t="s">
        <v>101</v>
      </c>
      <c r="B56" s="1">
        <v>78.716499999999996</v>
      </c>
      <c r="C56" s="1">
        <v>1.0550200000000001</v>
      </c>
      <c r="D56" s="1">
        <v>3626.5</v>
      </c>
      <c r="E56" s="1">
        <v>3.6986300000000001</v>
      </c>
      <c r="F56" s="1">
        <v>41.602499999999999</v>
      </c>
      <c r="I56" s="3">
        <v>40664</v>
      </c>
    </row>
    <row r="57" spans="1:9" x14ac:dyDescent="0.2">
      <c r="A57" s="1" t="s">
        <v>140</v>
      </c>
      <c r="B57" s="1">
        <v>78.716499999999996</v>
      </c>
      <c r="C57" s="1">
        <v>1.0550200000000001</v>
      </c>
      <c r="D57" s="1">
        <v>3626.5</v>
      </c>
      <c r="E57" s="1">
        <v>3.6986300000000001</v>
      </c>
      <c r="F57" s="1">
        <v>41.602499999999999</v>
      </c>
      <c r="I57" s="3">
        <v>40695</v>
      </c>
    </row>
    <row r="58" spans="1:9" x14ac:dyDescent="0.2">
      <c r="A58" s="1" t="s">
        <v>102</v>
      </c>
      <c r="B58" s="1">
        <v>91.078999999999994</v>
      </c>
      <c r="C58" s="1">
        <v>1.0770900000000001</v>
      </c>
      <c r="D58" s="1">
        <v>3626.73</v>
      </c>
      <c r="E58" s="1">
        <v>3.92571</v>
      </c>
      <c r="F58" s="1">
        <v>45.762799999999999</v>
      </c>
      <c r="I58" s="3">
        <v>40756</v>
      </c>
    </row>
    <row r="59" spans="1:9" x14ac:dyDescent="0.2">
      <c r="A59" s="1" t="s">
        <v>141</v>
      </c>
      <c r="B59" s="1">
        <v>72.859800000000007</v>
      </c>
      <c r="C59" s="1">
        <v>1.06562</v>
      </c>
      <c r="D59" s="1">
        <v>3626.34</v>
      </c>
      <c r="E59" s="1">
        <v>3.5406200000000001</v>
      </c>
      <c r="F59" s="1">
        <v>37.442300000000003</v>
      </c>
      <c r="I59" s="3">
        <v>40787</v>
      </c>
    </row>
    <row r="60" spans="1:9" x14ac:dyDescent="0.2">
      <c r="A60" s="1" t="s">
        <v>103</v>
      </c>
      <c r="B60" s="1">
        <v>42.916600000000003</v>
      </c>
      <c r="C60" s="1">
        <v>1.0130600000000001</v>
      </c>
      <c r="D60" s="1">
        <v>3625.45</v>
      </c>
      <c r="E60" s="1">
        <v>2.6475599999999999</v>
      </c>
      <c r="F60" s="1">
        <v>24.961500000000001</v>
      </c>
      <c r="I60" s="3">
        <v>40817</v>
      </c>
    </row>
    <row r="61" spans="1:9" x14ac:dyDescent="0.2">
      <c r="A61" s="1" t="s">
        <v>104</v>
      </c>
      <c r="B61" s="1">
        <v>129.03</v>
      </c>
      <c r="C61" s="1">
        <v>1.1253500000000001</v>
      </c>
      <c r="D61" s="1">
        <v>3627.31</v>
      </c>
      <c r="E61" s="1">
        <v>4.5053099999999997</v>
      </c>
      <c r="F61" s="1">
        <v>58.243499999999997</v>
      </c>
      <c r="I61" s="3">
        <v>40848</v>
      </c>
    </row>
    <row r="62" spans="1:9" x14ac:dyDescent="0.2">
      <c r="A62" s="1" t="s">
        <v>105</v>
      </c>
      <c r="B62" s="1">
        <v>101.71299999999999</v>
      </c>
      <c r="C62" s="1">
        <v>1.089</v>
      </c>
      <c r="D62" s="1">
        <v>3626.92</v>
      </c>
      <c r="E62" s="1">
        <v>4.1117900000000001</v>
      </c>
      <c r="F62" s="1">
        <v>49.923000000000002</v>
      </c>
      <c r="I62" s="3">
        <v>41000</v>
      </c>
    </row>
    <row r="63" spans="1:9" x14ac:dyDescent="0.2">
      <c r="A63" s="1" t="s">
        <v>160</v>
      </c>
      <c r="B63" s="1">
        <v>114.373</v>
      </c>
      <c r="C63" s="1">
        <v>1.1049500000000001</v>
      </c>
      <c r="D63" s="1">
        <v>3627.11</v>
      </c>
      <c r="E63" s="1">
        <v>4.3069899999999999</v>
      </c>
      <c r="F63" s="1">
        <v>54.083300000000001</v>
      </c>
      <c r="I63" s="3">
        <v>41030</v>
      </c>
    </row>
    <row r="64" spans="1:9" x14ac:dyDescent="0.2">
      <c r="A64" s="1" t="s">
        <v>106</v>
      </c>
      <c r="B64" s="1">
        <v>42.916600000000003</v>
      </c>
      <c r="C64" s="1">
        <v>1.0130600000000001</v>
      </c>
      <c r="D64" s="1">
        <v>3625.45</v>
      </c>
      <c r="E64" s="1">
        <v>2.6475599999999999</v>
      </c>
      <c r="F64" s="1">
        <v>24.961500000000001</v>
      </c>
      <c r="I64" s="3">
        <v>41091</v>
      </c>
    </row>
    <row r="65" spans="1:9" x14ac:dyDescent="0.2">
      <c r="A65" s="1" t="s">
        <v>107</v>
      </c>
      <c r="B65" s="1">
        <v>114.373</v>
      </c>
      <c r="C65" s="1">
        <v>1.1049500000000001</v>
      </c>
      <c r="D65" s="1">
        <v>3627.11</v>
      </c>
      <c r="E65" s="1">
        <v>4.3069899999999999</v>
      </c>
      <c r="F65" s="1">
        <v>54.083300000000001</v>
      </c>
      <c r="I65" s="3">
        <v>41153</v>
      </c>
    </row>
    <row r="66" spans="1:9" x14ac:dyDescent="0.2">
      <c r="A66" s="1" t="s">
        <v>108</v>
      </c>
      <c r="B66" s="1">
        <v>101.71299999999999</v>
      </c>
      <c r="C66" s="1">
        <v>1.089</v>
      </c>
      <c r="D66" s="1">
        <v>3626.92</v>
      </c>
      <c r="E66" s="1">
        <v>4.1117900000000001</v>
      </c>
      <c r="F66" s="1">
        <v>49.923000000000002</v>
      </c>
      <c r="I66" s="3">
        <v>41183</v>
      </c>
    </row>
    <row r="67" spans="1:9" x14ac:dyDescent="0.2">
      <c r="A67" s="1" t="s">
        <v>109</v>
      </c>
      <c r="B67" s="1">
        <v>151.81299999999999</v>
      </c>
      <c r="C67" s="1">
        <v>1.08667</v>
      </c>
      <c r="D67" s="1">
        <v>3627.68</v>
      </c>
      <c r="E67" s="1">
        <v>4.8798899999999996</v>
      </c>
      <c r="F67" s="1">
        <v>74.884500000000003</v>
      </c>
      <c r="I67" s="3">
        <v>41214</v>
      </c>
    </row>
    <row r="68" spans="1:9" x14ac:dyDescent="0.2">
      <c r="A68" s="1" t="s">
        <v>6</v>
      </c>
      <c r="B68" s="1">
        <v>161.184</v>
      </c>
      <c r="C68" s="1">
        <v>1.0916699999999999</v>
      </c>
      <c r="D68" s="1">
        <v>3627.79</v>
      </c>
      <c r="E68" s="1">
        <v>4.9831599999999998</v>
      </c>
      <c r="F68" s="1">
        <v>79.044799999999995</v>
      </c>
      <c r="I68" s="3">
        <v>41334</v>
      </c>
    </row>
    <row r="69" spans="1:9" x14ac:dyDescent="0.2">
      <c r="A69" s="1" t="s">
        <v>111</v>
      </c>
      <c r="B69" s="1">
        <v>135.96700000000001</v>
      </c>
      <c r="C69" s="1">
        <v>1.11839</v>
      </c>
      <c r="D69" s="1">
        <v>3627.42</v>
      </c>
      <c r="E69" s="1">
        <v>4.6195700000000004</v>
      </c>
      <c r="F69" s="1">
        <v>62.403799999999997</v>
      </c>
      <c r="I69" s="3">
        <v>41365</v>
      </c>
    </row>
    <row r="70" spans="1:9" x14ac:dyDescent="0.2">
      <c r="A70" s="1" t="s">
        <v>112</v>
      </c>
      <c r="B70" s="1">
        <v>72.859800000000007</v>
      </c>
      <c r="C70" s="1">
        <v>1.06562</v>
      </c>
      <c r="D70" s="1">
        <v>3626.34</v>
      </c>
      <c r="E70" s="1">
        <v>3.5406200000000001</v>
      </c>
      <c r="F70" s="1">
        <v>37.442300000000003</v>
      </c>
      <c r="I70" s="3">
        <v>41395</v>
      </c>
    </row>
    <row r="71" spans="1:9" x14ac:dyDescent="0.2">
      <c r="A71" s="1" t="s">
        <v>7</v>
      </c>
      <c r="B71" s="1">
        <v>72.859800000000007</v>
      </c>
      <c r="C71" s="1">
        <v>1.06562</v>
      </c>
      <c r="D71" s="1">
        <v>3626.34</v>
      </c>
      <c r="E71" s="1">
        <v>3.5406200000000001</v>
      </c>
      <c r="F71" s="1">
        <v>37.442300000000003</v>
      </c>
      <c r="I71" s="3">
        <v>41426</v>
      </c>
    </row>
    <row r="72" spans="1:9" x14ac:dyDescent="0.2">
      <c r="A72" s="1" t="s">
        <v>8</v>
      </c>
      <c r="B72" s="1">
        <v>78.716499999999996</v>
      </c>
      <c r="C72" s="1">
        <v>1.0550200000000001</v>
      </c>
      <c r="D72" s="1">
        <v>3626.5</v>
      </c>
      <c r="E72" s="1">
        <v>3.6986300000000001</v>
      </c>
      <c r="F72" s="1">
        <v>41.602499999999999</v>
      </c>
      <c r="I72" s="3">
        <v>41456</v>
      </c>
    </row>
    <row r="73" spans="1:9" x14ac:dyDescent="0.2">
      <c r="A73" s="1" t="s">
        <v>9</v>
      </c>
      <c r="B73" s="1">
        <v>71.432299999999998</v>
      </c>
      <c r="C73" s="1">
        <v>1.10768</v>
      </c>
      <c r="D73" s="1">
        <v>3626.23</v>
      </c>
      <c r="E73" s="1">
        <v>3.4314399999999998</v>
      </c>
      <c r="F73" s="1">
        <v>33.281999999999996</v>
      </c>
      <c r="I73" s="3">
        <v>41548</v>
      </c>
    </row>
    <row r="74" spans="1:9" x14ac:dyDescent="0.2">
      <c r="A74" s="1" t="s">
        <v>114</v>
      </c>
      <c r="B74" s="1">
        <v>142.63800000000001</v>
      </c>
      <c r="C74" s="1">
        <v>1.0860700000000001</v>
      </c>
      <c r="D74" s="1">
        <v>3627.57</v>
      </c>
      <c r="E74" s="1">
        <v>4.76525</v>
      </c>
      <c r="F74" s="1">
        <v>70.724299999999999</v>
      </c>
      <c r="I74" s="3">
        <v>41730</v>
      </c>
    </row>
    <row r="75" spans="1:9" x14ac:dyDescent="0.2">
      <c r="A75" s="1" t="s">
        <v>115</v>
      </c>
      <c r="B75" s="1">
        <v>71.432299999999998</v>
      </c>
      <c r="C75" s="1">
        <v>1.10768</v>
      </c>
      <c r="D75" s="1">
        <v>3626.23</v>
      </c>
      <c r="E75" s="1">
        <v>3.4314399999999998</v>
      </c>
      <c r="F75" s="1">
        <v>33.281999999999996</v>
      </c>
      <c r="I75" s="3">
        <v>41791</v>
      </c>
    </row>
    <row r="76" spans="1:9" x14ac:dyDescent="0.2">
      <c r="A76" s="1" t="s">
        <v>144</v>
      </c>
      <c r="B76" s="1">
        <v>114.373</v>
      </c>
      <c r="C76" s="1">
        <v>1.1049500000000001</v>
      </c>
      <c r="D76" s="1">
        <v>3627.11</v>
      </c>
      <c r="E76" s="1">
        <v>4.3069899999999999</v>
      </c>
      <c r="F76" s="1">
        <v>54.083300000000001</v>
      </c>
      <c r="I76" s="3">
        <v>41821</v>
      </c>
    </row>
    <row r="77" spans="1:9" x14ac:dyDescent="0.2">
      <c r="A77" s="1" t="s">
        <v>116</v>
      </c>
      <c r="B77" s="1">
        <v>91.078999999999994</v>
      </c>
      <c r="C77" s="1">
        <v>1.0770900000000001</v>
      </c>
      <c r="D77" s="1">
        <v>3626.73</v>
      </c>
      <c r="E77" s="1">
        <v>3.92571</v>
      </c>
      <c r="F77" s="1">
        <v>45.762799999999999</v>
      </c>
      <c r="I77" s="3">
        <v>41852</v>
      </c>
    </row>
    <row r="78" spans="1:9" x14ac:dyDescent="0.2">
      <c r="A78" s="1" t="s">
        <v>117</v>
      </c>
      <c r="B78" s="1">
        <v>91.078999999999994</v>
      </c>
      <c r="C78" s="1">
        <v>1.0770900000000001</v>
      </c>
      <c r="D78" s="1">
        <v>3626.73</v>
      </c>
      <c r="E78" s="1">
        <v>3.92571</v>
      </c>
      <c r="F78" s="1">
        <v>45.762799999999999</v>
      </c>
      <c r="I78" s="3">
        <v>41883</v>
      </c>
    </row>
    <row r="79" spans="1:9" x14ac:dyDescent="0.2">
      <c r="A79" s="1" t="s">
        <v>11</v>
      </c>
      <c r="B79" s="1">
        <v>136.875</v>
      </c>
      <c r="C79" s="1">
        <v>1.0935600000000001</v>
      </c>
      <c r="D79" s="1">
        <v>3627.48</v>
      </c>
      <c r="E79" s="1">
        <v>4.6754899999999999</v>
      </c>
      <c r="F79" s="1">
        <v>66.563999999999993</v>
      </c>
      <c r="I79" s="3">
        <v>41913</v>
      </c>
    </row>
    <row r="80" spans="1:9" x14ac:dyDescent="0.2">
      <c r="A80" s="1" t="s">
        <v>119</v>
      </c>
      <c r="B80" s="1">
        <v>170.40199999999999</v>
      </c>
      <c r="C80" s="1">
        <v>1.0714699999999999</v>
      </c>
      <c r="D80" s="1">
        <v>3627.93</v>
      </c>
      <c r="E80" s="1">
        <v>5.1223999999999998</v>
      </c>
      <c r="F80" s="1">
        <v>87.365300000000005</v>
      </c>
      <c r="I80" s="3">
        <v>42095</v>
      </c>
    </row>
    <row r="81" spans="1:9" x14ac:dyDescent="0.2">
      <c r="A81" s="1" t="s">
        <v>120</v>
      </c>
      <c r="B81" s="1">
        <v>62.104700000000001</v>
      </c>
      <c r="C81" s="1">
        <v>1.1046800000000001</v>
      </c>
      <c r="D81" s="1">
        <v>3625.97</v>
      </c>
      <c r="E81" s="1">
        <v>3.1633300000000002</v>
      </c>
      <c r="F81" s="1">
        <v>29.1218</v>
      </c>
      <c r="I81" s="3">
        <v>42156</v>
      </c>
    </row>
    <row r="82" spans="1:9" x14ac:dyDescent="0.2">
      <c r="A82" s="1" t="s">
        <v>15</v>
      </c>
      <c r="B82" s="1">
        <v>135.96700000000001</v>
      </c>
      <c r="C82" s="1">
        <v>1.11839</v>
      </c>
      <c r="D82" s="1">
        <v>3627.42</v>
      </c>
      <c r="E82" s="1">
        <v>4.6195700000000004</v>
      </c>
      <c r="F82" s="1">
        <v>62.403799999999997</v>
      </c>
      <c r="I82" s="3">
        <v>42186</v>
      </c>
    </row>
    <row r="83" spans="1:9" x14ac:dyDescent="0.2">
      <c r="A83" s="1" t="s">
        <v>17</v>
      </c>
      <c r="B83" s="1">
        <v>72.859800000000007</v>
      </c>
      <c r="C83" s="1">
        <v>1.06562</v>
      </c>
      <c r="D83" s="1">
        <v>3626.34</v>
      </c>
      <c r="E83" s="1">
        <v>3.5406200000000001</v>
      </c>
      <c r="F83" s="1">
        <v>37.442300000000003</v>
      </c>
      <c r="I83" s="3">
        <v>42248</v>
      </c>
    </row>
    <row r="84" spans="1:9" x14ac:dyDescent="0.2">
      <c r="A84" s="1" t="s">
        <v>121</v>
      </c>
      <c r="B84" s="1">
        <v>129.03</v>
      </c>
      <c r="C84" s="1">
        <v>1.1253500000000001</v>
      </c>
      <c r="D84" s="1">
        <v>3627.31</v>
      </c>
      <c r="E84" s="1">
        <v>4.5053099999999997</v>
      </c>
      <c r="F84" s="1">
        <v>58.243499999999997</v>
      </c>
      <c r="I84" s="3">
        <v>42430</v>
      </c>
    </row>
    <row r="85" spans="1:9" x14ac:dyDescent="0.2">
      <c r="A85" s="1" t="s">
        <v>20</v>
      </c>
      <c r="B85" s="1">
        <v>129.03</v>
      </c>
      <c r="C85" s="1">
        <v>1.1253500000000001</v>
      </c>
      <c r="D85" s="1">
        <v>3627.31</v>
      </c>
      <c r="E85" s="1">
        <v>4.5053099999999997</v>
      </c>
      <c r="F85" s="1">
        <v>58.243499999999997</v>
      </c>
      <c r="I85" s="3">
        <v>42491</v>
      </c>
    </row>
    <row r="86" spans="1:9" x14ac:dyDescent="0.2">
      <c r="A86" s="1" t="s">
        <v>22</v>
      </c>
      <c r="B86" s="1">
        <v>129.03</v>
      </c>
      <c r="C86" s="1">
        <v>1.1253500000000001</v>
      </c>
      <c r="D86" s="1">
        <v>3627.31</v>
      </c>
      <c r="E86" s="1">
        <v>4.5053099999999997</v>
      </c>
      <c r="F86" s="1">
        <v>58.243499999999997</v>
      </c>
      <c r="I86" s="3">
        <v>42614</v>
      </c>
    </row>
    <row r="87" spans="1:9" x14ac:dyDescent="0.2">
      <c r="A87" s="1" t="s">
        <v>124</v>
      </c>
      <c r="B87" s="1">
        <v>62.104700000000001</v>
      </c>
      <c r="C87" s="1">
        <v>1.1046800000000001</v>
      </c>
      <c r="D87" s="1">
        <v>3625.97</v>
      </c>
      <c r="E87" s="1">
        <v>3.1633300000000002</v>
      </c>
      <c r="F87" s="1">
        <v>29.1218</v>
      </c>
      <c r="I87" s="3">
        <v>42644</v>
      </c>
    </row>
    <row r="88" spans="1:9" x14ac:dyDescent="0.2">
      <c r="A88" s="1" t="s">
        <v>126</v>
      </c>
      <c r="B88" s="1">
        <v>114.373</v>
      </c>
      <c r="C88" s="1">
        <v>1.1049500000000001</v>
      </c>
      <c r="D88" s="1">
        <v>3627.11</v>
      </c>
      <c r="E88" s="1">
        <v>4.3069899999999999</v>
      </c>
      <c r="F88" s="1">
        <v>54.083300000000001</v>
      </c>
      <c r="I88" s="3">
        <v>42856</v>
      </c>
    </row>
    <row r="89" spans="1:9" x14ac:dyDescent="0.2">
      <c r="A89" s="1" t="s">
        <v>23</v>
      </c>
      <c r="B89" s="1">
        <v>71.432299999999998</v>
      </c>
      <c r="C89" s="1">
        <v>1.10768</v>
      </c>
      <c r="D89" s="1">
        <v>3626.23</v>
      </c>
      <c r="E89" s="1">
        <v>3.4314399999999998</v>
      </c>
      <c r="F89" s="1">
        <v>33.281999999999996</v>
      </c>
      <c r="I89" s="3">
        <v>42979</v>
      </c>
    </row>
    <row r="90" spans="1:9" x14ac:dyDescent="0.2">
      <c r="A90" s="1" t="s">
        <v>24</v>
      </c>
      <c r="B90" s="1">
        <v>91.078999999999994</v>
      </c>
      <c r="C90" s="1">
        <v>1.0770900000000001</v>
      </c>
      <c r="D90" s="1">
        <v>3626.73</v>
      </c>
      <c r="E90" s="1">
        <v>3.92571</v>
      </c>
      <c r="F90" s="1">
        <v>45.762799999999999</v>
      </c>
      <c r="I90" s="3">
        <v>43040</v>
      </c>
    </row>
    <row r="91" spans="1:9" x14ac:dyDescent="0.2">
      <c r="A91" s="1" t="s">
        <v>25</v>
      </c>
      <c r="B91" s="1">
        <v>114.373</v>
      </c>
      <c r="C91" s="1">
        <v>1.1049500000000001</v>
      </c>
      <c r="D91" s="1">
        <v>3627.11</v>
      </c>
      <c r="E91" s="1">
        <v>4.3069899999999999</v>
      </c>
      <c r="F91" s="1">
        <v>54.083300000000001</v>
      </c>
      <c r="I91" s="3">
        <v>43132</v>
      </c>
    </row>
    <row r="92" spans="1:9" x14ac:dyDescent="0.2">
      <c r="A92" s="1" t="s">
        <v>161</v>
      </c>
      <c r="B92" s="1">
        <v>129.03</v>
      </c>
      <c r="C92" s="1">
        <v>1.1253500000000001</v>
      </c>
      <c r="D92" s="1">
        <v>3627.31</v>
      </c>
      <c r="E92" s="1">
        <v>4.5053099999999997</v>
      </c>
      <c r="F92" s="1">
        <v>58.243499999999997</v>
      </c>
      <c r="I92" s="3">
        <v>43160</v>
      </c>
    </row>
    <row r="93" spans="1:9" x14ac:dyDescent="0.2">
      <c r="A93" s="1" t="s">
        <v>27</v>
      </c>
      <c r="B93" s="1">
        <v>136.875</v>
      </c>
      <c r="C93" s="1">
        <v>1.0935600000000001</v>
      </c>
      <c r="D93" s="1">
        <v>3627.48</v>
      </c>
      <c r="E93" s="1">
        <v>4.6754899999999999</v>
      </c>
      <c r="F93" s="1">
        <v>66.563999999999993</v>
      </c>
      <c r="I93" s="3">
        <v>43221</v>
      </c>
    </row>
    <row r="94" spans="1:9" x14ac:dyDescent="0.2">
      <c r="A94" s="1" t="s">
        <v>127</v>
      </c>
      <c r="B94" s="1">
        <v>91.078999999999994</v>
      </c>
      <c r="C94" s="1">
        <v>1.0770900000000001</v>
      </c>
      <c r="D94" s="1">
        <v>3626.73</v>
      </c>
      <c r="E94" s="1">
        <v>3.92571</v>
      </c>
      <c r="F94" s="1">
        <v>45.762799999999999</v>
      </c>
      <c r="I94" s="3">
        <v>43252</v>
      </c>
    </row>
    <row r="95" spans="1:9" x14ac:dyDescent="0.2">
      <c r="A95" s="1" t="s">
        <v>29</v>
      </c>
      <c r="B95" s="1">
        <v>136.875</v>
      </c>
      <c r="C95" s="1">
        <v>1.0935600000000001</v>
      </c>
      <c r="D95" s="1">
        <v>3627.48</v>
      </c>
      <c r="E95" s="1">
        <v>4.6754899999999999</v>
      </c>
      <c r="F95" s="1">
        <v>66.563999999999993</v>
      </c>
      <c r="I95" s="3">
        <v>43313</v>
      </c>
    </row>
    <row r="96" spans="1:9" x14ac:dyDescent="0.2">
      <c r="A96" s="1" t="s">
        <v>128</v>
      </c>
      <c r="B96" s="1">
        <v>101.71299999999999</v>
      </c>
      <c r="C96" s="1">
        <v>1.089</v>
      </c>
      <c r="D96" s="1">
        <v>3626.92</v>
      </c>
      <c r="E96" s="1">
        <v>4.1117900000000001</v>
      </c>
      <c r="F96" s="1">
        <v>49.923000000000002</v>
      </c>
      <c r="I96" s="3">
        <v>43374</v>
      </c>
    </row>
    <row r="97" spans="1:9" x14ac:dyDescent="0.2">
      <c r="A97" s="1" t="s">
        <v>157</v>
      </c>
      <c r="B97" s="1">
        <v>129.03</v>
      </c>
      <c r="C97" s="1">
        <v>1.1253500000000001</v>
      </c>
      <c r="D97" s="1">
        <v>3627.31</v>
      </c>
      <c r="E97" s="1">
        <v>4.5053099999999997</v>
      </c>
      <c r="F97" s="1">
        <v>58.243499999999997</v>
      </c>
      <c r="I97" s="3">
        <v>43435</v>
      </c>
    </row>
    <row r="98" spans="1:9" x14ac:dyDescent="0.2">
      <c r="A98" s="1" t="s">
        <v>31</v>
      </c>
      <c r="B98" s="1">
        <v>71.432299999999998</v>
      </c>
      <c r="C98" s="1">
        <v>1.10768</v>
      </c>
      <c r="D98" s="1">
        <v>3626.23</v>
      </c>
      <c r="E98" s="1">
        <v>3.4314399999999998</v>
      </c>
      <c r="F98" s="1">
        <v>33.281999999999996</v>
      </c>
      <c r="I98" s="3">
        <v>43556</v>
      </c>
    </row>
    <row r="99" spans="1:9" x14ac:dyDescent="0.2">
      <c r="A99" s="1" t="s">
        <v>134</v>
      </c>
      <c r="B99" s="1">
        <v>78.716499999999996</v>
      </c>
      <c r="C99" s="1">
        <v>1.0550200000000001</v>
      </c>
      <c r="D99" s="1">
        <v>3626.5</v>
      </c>
      <c r="E99" s="1">
        <v>3.6986300000000001</v>
      </c>
      <c r="F99" s="1">
        <v>41.602499999999999</v>
      </c>
      <c r="I99" s="3">
        <v>43709</v>
      </c>
    </row>
    <row r="100" spans="1:9" x14ac:dyDescent="0.2">
      <c r="A100" s="1" t="s">
        <v>32</v>
      </c>
      <c r="B100" s="1">
        <v>170.40199999999999</v>
      </c>
      <c r="C100" s="1">
        <v>1.0714699999999999</v>
      </c>
      <c r="D100" s="1">
        <v>3627.93</v>
      </c>
      <c r="E100" s="1">
        <v>5.1223999999999998</v>
      </c>
      <c r="F100" s="1">
        <v>87.365300000000005</v>
      </c>
      <c r="I100" s="3">
        <v>43739</v>
      </c>
    </row>
    <row r="101" spans="1:9" x14ac:dyDescent="0.2">
      <c r="A101" s="1" t="s">
        <v>147</v>
      </c>
      <c r="B101" s="1">
        <v>72.859800000000007</v>
      </c>
      <c r="C101" s="1">
        <v>1.06562</v>
      </c>
      <c r="D101" s="1">
        <v>3626.34</v>
      </c>
      <c r="E101" s="1">
        <v>3.5406200000000001</v>
      </c>
      <c r="F101" s="1">
        <v>37.442300000000003</v>
      </c>
      <c r="I101" s="3">
        <v>43770</v>
      </c>
    </row>
    <row r="102" spans="1:9" x14ac:dyDescent="0.2">
      <c r="A102" s="1" t="s">
        <v>135</v>
      </c>
      <c r="B102" s="1">
        <v>101.71299999999999</v>
      </c>
      <c r="C102" s="1">
        <v>1.089</v>
      </c>
      <c r="D102" s="1">
        <v>3626.92</v>
      </c>
      <c r="E102" s="1">
        <v>4.1117900000000001</v>
      </c>
      <c r="F102" s="1">
        <v>49.923000000000002</v>
      </c>
      <c r="I102" s="3">
        <v>43862</v>
      </c>
    </row>
    <row r="103" spans="1:9" x14ac:dyDescent="0.2">
      <c r="A103" s="1" t="s">
        <v>33</v>
      </c>
      <c r="B103" s="1">
        <v>142.63800000000001</v>
      </c>
      <c r="C103" s="1">
        <v>1.0860700000000001</v>
      </c>
      <c r="D103" s="1">
        <v>3627.57</v>
      </c>
      <c r="E103" s="1">
        <v>4.76525</v>
      </c>
      <c r="F103" s="1">
        <v>70.724299999999999</v>
      </c>
      <c r="I103" s="3">
        <v>43891</v>
      </c>
    </row>
    <row r="104" spans="1:9" x14ac:dyDescent="0.2">
      <c r="A104" s="1" t="s">
        <v>148</v>
      </c>
      <c r="B104" s="1">
        <v>101.71299999999999</v>
      </c>
      <c r="C104" s="1">
        <v>1.089</v>
      </c>
      <c r="D104" s="1">
        <v>3626.92</v>
      </c>
      <c r="E104" s="1">
        <v>4.1117900000000001</v>
      </c>
      <c r="F104" s="1">
        <v>49.923000000000002</v>
      </c>
      <c r="I104" s="3">
        <v>43922</v>
      </c>
    </row>
    <row r="105" spans="1:9" x14ac:dyDescent="0.2">
      <c r="A105" s="1" t="s">
        <v>34</v>
      </c>
      <c r="B105" s="1">
        <v>72.859800000000007</v>
      </c>
      <c r="C105" s="1">
        <v>1.06562</v>
      </c>
      <c r="D105" s="1">
        <v>3626.34</v>
      </c>
      <c r="E105" s="1">
        <v>3.5406200000000001</v>
      </c>
      <c r="F105" s="1">
        <v>37.442300000000003</v>
      </c>
      <c r="I105" s="3">
        <v>43952</v>
      </c>
    </row>
    <row r="106" spans="1:9" x14ac:dyDescent="0.2">
      <c r="A106" s="1" t="s">
        <v>35</v>
      </c>
      <c r="B106" s="1">
        <v>78.716499999999996</v>
      </c>
      <c r="C106" s="1">
        <v>1.0550200000000001</v>
      </c>
      <c r="D106" s="1">
        <v>3626.5</v>
      </c>
      <c r="E106" s="1">
        <v>3.6986300000000001</v>
      </c>
      <c r="F106" s="1">
        <v>41.602499999999999</v>
      </c>
      <c r="I106" s="3">
        <v>43983</v>
      </c>
    </row>
    <row r="110" spans="1:9" x14ac:dyDescent="0.2">
      <c r="A110" s="1" t="s">
        <v>175</v>
      </c>
      <c r="B110" s="2">
        <f>AVERAGE(B2:B106)</f>
        <v>109.96814380952381</v>
      </c>
      <c r="C110" s="2">
        <f t="shared" ref="C110:F110" si="22">AVERAGE(C2:C106)</f>
        <v>1.089599657142857</v>
      </c>
      <c r="D110" s="2">
        <f t="shared" si="22"/>
        <v>3626.993999999997</v>
      </c>
      <c r="E110" s="2">
        <f t="shared" si="22"/>
        <v>4.1908680952380939</v>
      </c>
      <c r="F110" s="2">
        <f t="shared" si="22"/>
        <v>53.687060952380953</v>
      </c>
    </row>
    <row r="111" spans="1:9" x14ac:dyDescent="0.2">
      <c r="A111" s="1" t="s">
        <v>176</v>
      </c>
      <c r="B111" s="2">
        <f>MIN(B2:B106)</f>
        <v>42.916600000000003</v>
      </c>
      <c r="C111" s="2">
        <f t="shared" ref="C111:F111" si="23">MIN(C2:C106)</f>
        <v>0.98485400000000001</v>
      </c>
      <c r="D111" s="2">
        <f t="shared" si="23"/>
        <v>3625.45</v>
      </c>
      <c r="E111" s="2">
        <f t="shared" si="23"/>
        <v>2.6475599999999999</v>
      </c>
      <c r="F111" s="2">
        <f t="shared" si="23"/>
        <v>24.961500000000001</v>
      </c>
    </row>
    <row r="112" spans="1:9" x14ac:dyDescent="0.2">
      <c r="A112" s="1" t="s">
        <v>177</v>
      </c>
      <c r="B112" s="2">
        <f>MAX(B2:B106)</f>
        <v>170.94499999999999</v>
      </c>
      <c r="C112" s="2">
        <f t="shared" ref="C112:F112" si="24">MAX(C2:C106)</f>
        <v>1.1253500000000001</v>
      </c>
      <c r="D112" s="2">
        <f t="shared" si="24"/>
        <v>3627.93</v>
      </c>
      <c r="E112" s="2">
        <f t="shared" si="24"/>
        <v>5.1223999999999998</v>
      </c>
      <c r="F112" s="2">
        <f t="shared" si="24"/>
        <v>95.6858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3AF1-FCF6-4561-B8A6-670B6B19ACB1}">
  <dimension ref="A1:F108"/>
  <sheetViews>
    <sheetView workbookViewId="0">
      <selection activeCell="J11" sqref="J11"/>
    </sheetView>
  </sheetViews>
  <sheetFormatPr defaultRowHeight="14.25" x14ac:dyDescent="0.2"/>
  <cols>
    <col min="1" max="16384" width="9" style="1"/>
  </cols>
  <sheetData>
    <row r="1" spans="1:6" x14ac:dyDescent="0.2">
      <c r="A1" s="1" t="s">
        <v>162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37</v>
      </c>
      <c r="B2" s="1">
        <v>16.003599999999999</v>
      </c>
      <c r="C2" s="1">
        <v>1.67123</v>
      </c>
      <c r="D2" s="1">
        <v>2759.45</v>
      </c>
      <c r="E2" s="1">
        <v>0.47219800000000001</v>
      </c>
      <c r="F2" s="1">
        <v>40.249200000000002</v>
      </c>
    </row>
    <row r="3" spans="1:6" x14ac:dyDescent="0.2">
      <c r="A3" s="1" t="s">
        <v>38</v>
      </c>
      <c r="B3" s="1">
        <v>223.923</v>
      </c>
      <c r="C3" s="1">
        <v>3.6096699999999999</v>
      </c>
      <c r="D3" s="1">
        <v>2760.38</v>
      </c>
      <c r="E3" s="1">
        <v>1.401</v>
      </c>
      <c r="F3" s="1">
        <v>84.970600000000005</v>
      </c>
    </row>
    <row r="4" spans="1:6" x14ac:dyDescent="0.2">
      <c r="A4" s="1" t="s">
        <v>40</v>
      </c>
      <c r="B4" s="1">
        <v>560.59299999999996</v>
      </c>
      <c r="C4" s="1">
        <v>4.8811299999999997</v>
      </c>
      <c r="D4" s="1">
        <v>2760.96</v>
      </c>
      <c r="E4" s="1">
        <v>1.9768699999999999</v>
      </c>
      <c r="F4" s="1">
        <v>98.387</v>
      </c>
    </row>
    <row r="5" spans="1:6" x14ac:dyDescent="0.2">
      <c r="A5" s="1" t="s">
        <v>137</v>
      </c>
      <c r="B5" s="1">
        <v>326.15800000000002</v>
      </c>
      <c r="C5" s="1">
        <v>4.0880700000000001</v>
      </c>
      <c r="D5" s="1">
        <v>2760.6</v>
      </c>
      <c r="E5" s="1">
        <v>1.61487</v>
      </c>
      <c r="F5" s="1">
        <v>89.442700000000002</v>
      </c>
    </row>
    <row r="6" spans="1:6" x14ac:dyDescent="0.2">
      <c r="A6" s="1" t="s">
        <v>41</v>
      </c>
      <c r="B6" s="1">
        <v>223.923</v>
      </c>
      <c r="C6" s="1">
        <v>3.6096699999999999</v>
      </c>
      <c r="D6" s="1">
        <v>2760.38</v>
      </c>
      <c r="E6" s="1">
        <v>1.401</v>
      </c>
      <c r="F6" s="1">
        <v>84.970600000000005</v>
      </c>
    </row>
    <row r="7" spans="1:6" x14ac:dyDescent="0.2">
      <c r="A7" s="1" t="s">
        <v>42</v>
      </c>
      <c r="B7" s="1">
        <v>218.495</v>
      </c>
      <c r="C7" s="1">
        <v>3.6524299999999998</v>
      </c>
      <c r="D7" s="1">
        <v>2760.35</v>
      </c>
      <c r="E7" s="1">
        <v>1.3694200000000001</v>
      </c>
      <c r="F7" s="1">
        <v>80.498400000000004</v>
      </c>
    </row>
    <row r="8" spans="1:6" x14ac:dyDescent="0.2">
      <c r="A8" s="1" t="s">
        <v>44</v>
      </c>
      <c r="B8" s="1">
        <v>374.80799999999999</v>
      </c>
      <c r="C8" s="1">
        <v>4.2299100000000003</v>
      </c>
      <c r="D8" s="1">
        <v>2760.68</v>
      </c>
      <c r="E8" s="1">
        <v>1.70384</v>
      </c>
      <c r="F8" s="1">
        <v>93.9148</v>
      </c>
    </row>
    <row r="9" spans="1:6" x14ac:dyDescent="0.2">
      <c r="A9" s="1" t="s">
        <v>163</v>
      </c>
      <c r="B9" s="1">
        <v>326.15800000000002</v>
      </c>
      <c r="C9" s="1">
        <v>4.0880700000000001</v>
      </c>
      <c r="D9" s="1">
        <v>2760.6</v>
      </c>
      <c r="E9" s="1">
        <v>1.61487</v>
      </c>
      <c r="F9" s="1">
        <v>89.442700000000002</v>
      </c>
    </row>
    <row r="10" spans="1:6" x14ac:dyDescent="0.2">
      <c r="A10" s="1" t="s">
        <v>46</v>
      </c>
      <c r="B10" s="1">
        <v>326.15800000000002</v>
      </c>
      <c r="C10" s="1">
        <v>4.0880700000000001</v>
      </c>
      <c r="D10" s="1">
        <v>2760.6</v>
      </c>
      <c r="E10" s="1">
        <v>1.61487</v>
      </c>
      <c r="F10" s="1">
        <v>89.442700000000002</v>
      </c>
    </row>
    <row r="11" spans="1:6" x14ac:dyDescent="0.2">
      <c r="A11" s="1" t="s">
        <v>47</v>
      </c>
      <c r="B11" s="1">
        <v>245.91900000000001</v>
      </c>
      <c r="C11" s="1">
        <v>3.89968</v>
      </c>
      <c r="D11" s="1">
        <v>2760.4</v>
      </c>
      <c r="E11" s="1">
        <v>1.41553</v>
      </c>
      <c r="F11" s="1">
        <v>76.026300000000006</v>
      </c>
    </row>
    <row r="12" spans="1:6" x14ac:dyDescent="0.2">
      <c r="A12" s="1" t="s">
        <v>48</v>
      </c>
      <c r="B12" s="1">
        <v>218.495</v>
      </c>
      <c r="C12" s="1">
        <v>3.6524299999999998</v>
      </c>
      <c r="D12" s="1">
        <v>2760.35</v>
      </c>
      <c r="E12" s="1">
        <v>1.3694200000000001</v>
      </c>
      <c r="F12" s="1">
        <v>80.498400000000004</v>
      </c>
    </row>
    <row r="13" spans="1:6" x14ac:dyDescent="0.2">
      <c r="A13" s="1" t="s">
        <v>49</v>
      </c>
      <c r="B13" s="1">
        <v>218.495</v>
      </c>
      <c r="C13" s="1">
        <v>3.6524299999999998</v>
      </c>
      <c r="D13" s="1">
        <v>2760.35</v>
      </c>
      <c r="E13" s="1">
        <v>1.3694200000000001</v>
      </c>
      <c r="F13" s="1">
        <v>80.498400000000004</v>
      </c>
    </row>
    <row r="14" spans="1:6" x14ac:dyDescent="0.2">
      <c r="A14" s="1" t="s">
        <v>50</v>
      </c>
      <c r="B14" s="1">
        <v>560.59299999999996</v>
      </c>
      <c r="C14" s="1">
        <v>4.8811299999999997</v>
      </c>
      <c r="D14" s="1">
        <v>2760.96</v>
      </c>
      <c r="E14" s="1">
        <v>1.9768699999999999</v>
      </c>
      <c r="F14" s="1">
        <v>98.387</v>
      </c>
    </row>
    <row r="15" spans="1:6" x14ac:dyDescent="0.2">
      <c r="A15" s="1" t="s">
        <v>164</v>
      </c>
      <c r="B15" s="1">
        <v>245.91900000000001</v>
      </c>
      <c r="C15" s="1">
        <v>3.89968</v>
      </c>
      <c r="D15" s="1">
        <v>2760.4</v>
      </c>
      <c r="E15" s="1">
        <v>1.41553</v>
      </c>
      <c r="F15" s="1">
        <v>76.026300000000006</v>
      </c>
    </row>
    <row r="16" spans="1:6" x14ac:dyDescent="0.2">
      <c r="A16" s="1" t="s">
        <v>51</v>
      </c>
      <c r="B16" s="1">
        <v>374.80799999999999</v>
      </c>
      <c r="C16" s="1">
        <v>4.2299100000000003</v>
      </c>
      <c r="D16" s="1">
        <v>2760.68</v>
      </c>
      <c r="E16" s="1">
        <v>1.70384</v>
      </c>
      <c r="F16" s="1">
        <v>93.9148</v>
      </c>
    </row>
    <row r="17" spans="1:6" x14ac:dyDescent="0.2">
      <c r="A17" s="1" t="s">
        <v>52</v>
      </c>
      <c r="B17" s="1">
        <v>560.59299999999996</v>
      </c>
      <c r="C17" s="1">
        <v>4.8811299999999997</v>
      </c>
      <c r="D17" s="1">
        <v>2760.96</v>
      </c>
      <c r="E17" s="1">
        <v>1.9768699999999999</v>
      </c>
      <c r="F17" s="1">
        <v>98.387</v>
      </c>
    </row>
    <row r="18" spans="1:6" x14ac:dyDescent="0.2">
      <c r="A18" s="1" t="s">
        <v>53</v>
      </c>
      <c r="B18" s="1">
        <v>374.80799999999999</v>
      </c>
      <c r="C18" s="1">
        <v>4.2299100000000003</v>
      </c>
      <c r="D18" s="1">
        <v>2760.68</v>
      </c>
      <c r="E18" s="1">
        <v>1.70384</v>
      </c>
      <c r="F18" s="1">
        <v>93.9148</v>
      </c>
    </row>
    <row r="19" spans="1:6" x14ac:dyDescent="0.2">
      <c r="A19" s="1" t="s">
        <v>55</v>
      </c>
      <c r="B19" s="1">
        <v>374.80799999999999</v>
      </c>
      <c r="C19" s="1">
        <v>4.2299100000000003</v>
      </c>
      <c r="D19" s="1">
        <v>2760.68</v>
      </c>
      <c r="E19" s="1">
        <v>1.70384</v>
      </c>
      <c r="F19" s="1">
        <v>93.9148</v>
      </c>
    </row>
    <row r="20" spans="1:6" x14ac:dyDescent="0.2">
      <c r="A20" s="1" t="s">
        <v>56</v>
      </c>
      <c r="B20" s="1">
        <v>374.80799999999999</v>
      </c>
      <c r="C20" s="1">
        <v>4.2299100000000003</v>
      </c>
      <c r="D20" s="1">
        <v>2760.68</v>
      </c>
      <c r="E20" s="1">
        <v>1.70384</v>
      </c>
      <c r="F20" s="1">
        <v>93.9148</v>
      </c>
    </row>
    <row r="21" spans="1:6" x14ac:dyDescent="0.2">
      <c r="A21" s="1" t="s">
        <v>57</v>
      </c>
      <c r="B21" s="1">
        <v>374.80799999999999</v>
      </c>
      <c r="C21" s="1">
        <v>4.2299100000000003</v>
      </c>
      <c r="D21" s="1">
        <v>2760.68</v>
      </c>
      <c r="E21" s="1">
        <v>1.70384</v>
      </c>
      <c r="F21" s="1">
        <v>93.9148</v>
      </c>
    </row>
    <row r="22" spans="1:6" x14ac:dyDescent="0.2">
      <c r="A22" s="1" t="s">
        <v>59</v>
      </c>
      <c r="B22" s="1">
        <v>223.923</v>
      </c>
      <c r="C22" s="1">
        <v>3.6096699999999999</v>
      </c>
      <c r="D22" s="1">
        <v>2760.38</v>
      </c>
      <c r="E22" s="1">
        <v>1.401</v>
      </c>
      <c r="F22" s="1">
        <v>84.970600000000005</v>
      </c>
    </row>
    <row r="23" spans="1:6" x14ac:dyDescent="0.2">
      <c r="A23" s="1" t="s">
        <v>60</v>
      </c>
      <c r="B23" s="1">
        <v>560.59299999999996</v>
      </c>
      <c r="C23" s="1">
        <v>4.8811299999999997</v>
      </c>
      <c r="D23" s="1">
        <v>2760.96</v>
      </c>
      <c r="E23" s="1">
        <v>1.9768699999999999</v>
      </c>
      <c r="F23" s="1">
        <v>98.387</v>
      </c>
    </row>
    <row r="24" spans="1:6" x14ac:dyDescent="0.2">
      <c r="A24" s="1" t="s">
        <v>165</v>
      </c>
      <c r="B24" s="1">
        <v>560.59299999999996</v>
      </c>
      <c r="C24" s="1">
        <v>4.8811299999999997</v>
      </c>
      <c r="D24" s="1">
        <v>2760.96</v>
      </c>
      <c r="E24" s="1">
        <v>1.9768699999999999</v>
      </c>
      <c r="F24" s="1">
        <v>98.387</v>
      </c>
    </row>
    <row r="25" spans="1:6" x14ac:dyDescent="0.2">
      <c r="A25" s="1" t="s">
        <v>166</v>
      </c>
      <c r="B25" s="1">
        <v>196.274</v>
      </c>
      <c r="C25" s="1">
        <v>3.7361399999999998</v>
      </c>
      <c r="D25" s="1">
        <v>2760.24</v>
      </c>
      <c r="E25" s="1">
        <v>1.2628699999999999</v>
      </c>
      <c r="F25" s="1">
        <v>67.081999999999994</v>
      </c>
    </row>
    <row r="26" spans="1:6" x14ac:dyDescent="0.2">
      <c r="A26" s="1" t="s">
        <v>61</v>
      </c>
      <c r="B26" s="1">
        <v>326.15800000000002</v>
      </c>
      <c r="C26" s="1">
        <v>4.0880700000000001</v>
      </c>
      <c r="D26" s="1">
        <v>2760.6</v>
      </c>
      <c r="E26" s="1">
        <v>1.61487</v>
      </c>
      <c r="F26" s="1">
        <v>89.442700000000002</v>
      </c>
    </row>
    <row r="27" spans="1:6" x14ac:dyDescent="0.2">
      <c r="A27" s="1" t="s">
        <v>62</v>
      </c>
      <c r="B27" s="1">
        <v>223.923</v>
      </c>
      <c r="C27" s="1">
        <v>3.6096699999999999</v>
      </c>
      <c r="D27" s="1">
        <v>2760.38</v>
      </c>
      <c r="E27" s="1">
        <v>1.401</v>
      </c>
      <c r="F27" s="1">
        <v>84.970600000000005</v>
      </c>
    </row>
    <row r="28" spans="1:6" x14ac:dyDescent="0.2">
      <c r="A28" s="1" t="s">
        <v>63</v>
      </c>
      <c r="B28" s="1">
        <v>326.15800000000002</v>
      </c>
      <c r="C28" s="1">
        <v>4.0880700000000001</v>
      </c>
      <c r="D28" s="1">
        <v>2760.6</v>
      </c>
      <c r="E28" s="1">
        <v>1.61487</v>
      </c>
      <c r="F28" s="1">
        <v>89.442700000000002</v>
      </c>
    </row>
    <row r="29" spans="1:6" x14ac:dyDescent="0.2">
      <c r="A29" s="1" t="s">
        <v>64</v>
      </c>
      <c r="B29" s="1">
        <v>326.15800000000002</v>
      </c>
      <c r="C29" s="1">
        <v>4.0880700000000001</v>
      </c>
      <c r="D29" s="1">
        <v>2760.6</v>
      </c>
      <c r="E29" s="1">
        <v>1.61487</v>
      </c>
      <c r="F29" s="1">
        <v>89.442700000000002</v>
      </c>
    </row>
    <row r="30" spans="1:6" x14ac:dyDescent="0.2">
      <c r="A30" s="1" t="s">
        <v>65</v>
      </c>
      <c r="B30" s="1">
        <v>374.80799999999999</v>
      </c>
      <c r="C30" s="1">
        <v>4.2299100000000003</v>
      </c>
      <c r="D30" s="1">
        <v>2760.68</v>
      </c>
      <c r="E30" s="1">
        <v>1.70384</v>
      </c>
      <c r="F30" s="1">
        <v>93.9148</v>
      </c>
    </row>
    <row r="31" spans="1:6" x14ac:dyDescent="0.2">
      <c r="A31" s="1" t="s">
        <v>139</v>
      </c>
      <c r="B31" s="1">
        <v>374.80799999999999</v>
      </c>
      <c r="C31" s="1">
        <v>4.2299100000000003</v>
      </c>
      <c r="D31" s="1">
        <v>2760.68</v>
      </c>
      <c r="E31" s="1">
        <v>1.70384</v>
      </c>
      <c r="F31" s="1">
        <v>93.9148</v>
      </c>
    </row>
    <row r="32" spans="1:6" x14ac:dyDescent="0.2">
      <c r="A32" s="1" t="s">
        <v>150</v>
      </c>
      <c r="B32" s="1">
        <v>326.15800000000002</v>
      </c>
      <c r="C32" s="1">
        <v>4.0880700000000001</v>
      </c>
      <c r="D32" s="1">
        <v>2760.6</v>
      </c>
      <c r="E32" s="1">
        <v>1.61487</v>
      </c>
      <c r="F32" s="1">
        <v>89.442700000000002</v>
      </c>
    </row>
    <row r="33" spans="1:6" x14ac:dyDescent="0.2">
      <c r="A33" s="1" t="s">
        <v>71</v>
      </c>
      <c r="B33" s="1">
        <v>223.923</v>
      </c>
      <c r="C33" s="1">
        <v>3.6096699999999999</v>
      </c>
      <c r="D33" s="1">
        <v>2760.38</v>
      </c>
      <c r="E33" s="1">
        <v>1.401</v>
      </c>
      <c r="F33" s="1">
        <v>84.970600000000005</v>
      </c>
    </row>
    <row r="34" spans="1:6" x14ac:dyDescent="0.2">
      <c r="A34" s="1" t="s">
        <v>72</v>
      </c>
      <c r="B34" s="1">
        <v>265.26499999999999</v>
      </c>
      <c r="C34" s="1">
        <v>4.1115500000000003</v>
      </c>
      <c r="D34" s="1">
        <v>2760.42</v>
      </c>
      <c r="E34" s="1">
        <v>1.4366000000000001</v>
      </c>
      <c r="F34" s="1">
        <v>71.554199999999994</v>
      </c>
    </row>
    <row r="35" spans="1:6" x14ac:dyDescent="0.2">
      <c r="A35" s="1" t="s">
        <v>73</v>
      </c>
      <c r="B35" s="1">
        <v>223.923</v>
      </c>
      <c r="C35" s="1">
        <v>3.6096699999999999</v>
      </c>
      <c r="D35" s="1">
        <v>2760.38</v>
      </c>
      <c r="E35" s="1">
        <v>1.401</v>
      </c>
      <c r="F35" s="1">
        <v>84.970600000000005</v>
      </c>
    </row>
    <row r="36" spans="1:6" x14ac:dyDescent="0.2">
      <c r="A36" s="1" t="s">
        <v>74</v>
      </c>
      <c r="B36" s="1">
        <v>218.495</v>
      </c>
      <c r="C36" s="1">
        <v>3.6524299999999998</v>
      </c>
      <c r="D36" s="1">
        <v>2760.35</v>
      </c>
      <c r="E36" s="1">
        <v>1.3694200000000001</v>
      </c>
      <c r="F36" s="1">
        <v>80.498400000000004</v>
      </c>
    </row>
    <row r="37" spans="1:6" x14ac:dyDescent="0.2">
      <c r="A37" s="1" t="s">
        <v>152</v>
      </c>
      <c r="B37" s="1">
        <v>326.15800000000002</v>
      </c>
      <c r="C37" s="1">
        <v>4.0880700000000001</v>
      </c>
      <c r="D37" s="1">
        <v>2760.6</v>
      </c>
      <c r="E37" s="1">
        <v>1.61487</v>
      </c>
      <c r="F37" s="1">
        <v>89.442700000000002</v>
      </c>
    </row>
    <row r="38" spans="1:6" x14ac:dyDescent="0.2">
      <c r="A38" s="1" t="s">
        <v>77</v>
      </c>
      <c r="B38" s="1">
        <v>374.80799999999999</v>
      </c>
      <c r="C38" s="1">
        <v>4.2299100000000003</v>
      </c>
      <c r="D38" s="1">
        <v>2760.68</v>
      </c>
      <c r="E38" s="1">
        <v>1.70384</v>
      </c>
      <c r="F38" s="1">
        <v>93.9148</v>
      </c>
    </row>
    <row r="39" spans="1:6" x14ac:dyDescent="0.2">
      <c r="A39" s="1" t="s">
        <v>78</v>
      </c>
      <c r="B39" s="1">
        <v>223.923</v>
      </c>
      <c r="C39" s="1">
        <v>3.6096699999999999</v>
      </c>
      <c r="D39" s="1">
        <v>2760.38</v>
      </c>
      <c r="E39" s="1">
        <v>1.401</v>
      </c>
      <c r="F39" s="1">
        <v>84.970600000000005</v>
      </c>
    </row>
    <row r="40" spans="1:6" x14ac:dyDescent="0.2">
      <c r="A40" s="1" t="s">
        <v>79</v>
      </c>
      <c r="B40" s="1">
        <v>223.923</v>
      </c>
      <c r="C40" s="1">
        <v>3.6096699999999999</v>
      </c>
      <c r="D40" s="1">
        <v>2760.38</v>
      </c>
      <c r="E40" s="1">
        <v>1.401</v>
      </c>
      <c r="F40" s="1">
        <v>84.970600000000005</v>
      </c>
    </row>
    <row r="41" spans="1:6" x14ac:dyDescent="0.2">
      <c r="A41" s="1" t="s">
        <v>80</v>
      </c>
      <c r="B41" s="1">
        <v>223.923</v>
      </c>
      <c r="C41" s="1">
        <v>3.6096699999999999</v>
      </c>
      <c r="D41" s="1">
        <v>2760.38</v>
      </c>
      <c r="E41" s="1">
        <v>1.401</v>
      </c>
      <c r="F41" s="1">
        <v>84.970600000000005</v>
      </c>
    </row>
    <row r="42" spans="1:6" x14ac:dyDescent="0.2">
      <c r="A42" s="1" t="s">
        <v>81</v>
      </c>
      <c r="B42" s="1">
        <v>218.495</v>
      </c>
      <c r="C42" s="1">
        <v>3.6524299999999998</v>
      </c>
      <c r="D42" s="1">
        <v>2760.35</v>
      </c>
      <c r="E42" s="1">
        <v>1.3694200000000001</v>
      </c>
      <c r="F42" s="1">
        <v>80.498400000000004</v>
      </c>
    </row>
    <row r="43" spans="1:6" x14ac:dyDescent="0.2">
      <c r="A43" s="1" t="s">
        <v>82</v>
      </c>
      <c r="B43" s="1">
        <v>218.495</v>
      </c>
      <c r="C43" s="1">
        <v>3.6524299999999998</v>
      </c>
      <c r="D43" s="1">
        <v>2760.35</v>
      </c>
      <c r="E43" s="1">
        <v>1.3694200000000001</v>
      </c>
      <c r="F43" s="1">
        <v>80.498400000000004</v>
      </c>
    </row>
    <row r="44" spans="1:6" x14ac:dyDescent="0.2">
      <c r="A44" s="1" t="s">
        <v>153</v>
      </c>
      <c r="B44" s="1">
        <v>374.80799999999999</v>
      </c>
      <c r="C44" s="1">
        <v>4.2299100000000003</v>
      </c>
      <c r="D44" s="1">
        <v>2760.68</v>
      </c>
      <c r="E44" s="1">
        <v>1.70384</v>
      </c>
      <c r="F44" s="1">
        <v>93.9148</v>
      </c>
    </row>
    <row r="45" spans="1:6" x14ac:dyDescent="0.2">
      <c r="A45" s="1" t="s">
        <v>83</v>
      </c>
      <c r="B45" s="1">
        <v>560.59299999999996</v>
      </c>
      <c r="C45" s="1">
        <v>4.8811299999999997</v>
      </c>
      <c r="D45" s="1">
        <v>2760.96</v>
      </c>
      <c r="E45" s="1">
        <v>1.9768699999999999</v>
      </c>
      <c r="F45" s="1">
        <v>98.387</v>
      </c>
    </row>
    <row r="46" spans="1:6" x14ac:dyDescent="0.2">
      <c r="A46" s="1" t="s">
        <v>85</v>
      </c>
      <c r="B46" s="1">
        <v>326.15800000000002</v>
      </c>
      <c r="C46" s="1">
        <v>4.0880700000000001</v>
      </c>
      <c r="D46" s="1">
        <v>2760.6</v>
      </c>
      <c r="E46" s="1">
        <v>1.61487</v>
      </c>
      <c r="F46" s="1">
        <v>89.442700000000002</v>
      </c>
    </row>
    <row r="47" spans="1:6" x14ac:dyDescent="0.2">
      <c r="A47" s="1" t="s">
        <v>86</v>
      </c>
      <c r="B47" s="1">
        <v>326.15800000000002</v>
      </c>
      <c r="C47" s="1">
        <v>4.0880700000000001</v>
      </c>
      <c r="D47" s="1">
        <v>2760.6</v>
      </c>
      <c r="E47" s="1">
        <v>1.61487</v>
      </c>
      <c r="F47" s="1">
        <v>89.442700000000002</v>
      </c>
    </row>
    <row r="48" spans="1:6" x14ac:dyDescent="0.2">
      <c r="A48" s="1" t="s">
        <v>87</v>
      </c>
      <c r="B48" s="1">
        <v>223.923</v>
      </c>
      <c r="C48" s="1">
        <v>3.6096699999999999</v>
      </c>
      <c r="D48" s="1">
        <v>2760.38</v>
      </c>
      <c r="E48" s="1">
        <v>1.401</v>
      </c>
      <c r="F48" s="1">
        <v>84.970600000000005</v>
      </c>
    </row>
    <row r="49" spans="1:6" x14ac:dyDescent="0.2">
      <c r="A49" s="1" t="s">
        <v>89</v>
      </c>
      <c r="B49" s="1">
        <v>374.80799999999999</v>
      </c>
      <c r="C49" s="1">
        <v>4.2299100000000003</v>
      </c>
      <c r="D49" s="1">
        <v>2760.68</v>
      </c>
      <c r="E49" s="1">
        <v>1.70384</v>
      </c>
      <c r="F49" s="1">
        <v>93.9148</v>
      </c>
    </row>
    <row r="50" spans="1:6" x14ac:dyDescent="0.2">
      <c r="A50" s="1" t="s">
        <v>90</v>
      </c>
      <c r="B50" s="1">
        <v>374.80799999999999</v>
      </c>
      <c r="C50" s="1">
        <v>4.2299100000000003</v>
      </c>
      <c r="D50" s="1">
        <v>2760.68</v>
      </c>
      <c r="E50" s="1">
        <v>1.70384</v>
      </c>
      <c r="F50" s="1">
        <v>93.9148</v>
      </c>
    </row>
    <row r="51" spans="1:6" x14ac:dyDescent="0.2">
      <c r="A51" s="1" t="s">
        <v>91</v>
      </c>
      <c r="B51" s="1">
        <v>223.923</v>
      </c>
      <c r="C51" s="1">
        <v>3.6096699999999999</v>
      </c>
      <c r="D51" s="1">
        <v>2760.38</v>
      </c>
      <c r="E51" s="1">
        <v>1.401</v>
      </c>
      <c r="F51" s="1">
        <v>84.970600000000005</v>
      </c>
    </row>
    <row r="52" spans="1:6" x14ac:dyDescent="0.2">
      <c r="A52" s="1" t="s">
        <v>92</v>
      </c>
      <c r="B52" s="1">
        <v>560.59299999999996</v>
      </c>
      <c r="C52" s="1">
        <v>4.8811299999999997</v>
      </c>
      <c r="D52" s="1">
        <v>2760.96</v>
      </c>
      <c r="E52" s="1">
        <v>1.9768699999999999</v>
      </c>
      <c r="F52" s="1">
        <v>98.387</v>
      </c>
    </row>
    <row r="53" spans="1:6" x14ac:dyDescent="0.2">
      <c r="A53" s="1" t="s">
        <v>93</v>
      </c>
      <c r="B53" s="1">
        <v>223.923</v>
      </c>
      <c r="C53" s="1">
        <v>3.6096699999999999</v>
      </c>
      <c r="D53" s="1">
        <v>2760.38</v>
      </c>
      <c r="E53" s="1">
        <v>1.401</v>
      </c>
      <c r="F53" s="1">
        <v>84.970600000000005</v>
      </c>
    </row>
    <row r="54" spans="1:6" x14ac:dyDescent="0.2">
      <c r="A54" s="1" t="s">
        <v>94</v>
      </c>
      <c r="B54" s="1">
        <v>326.15800000000002</v>
      </c>
      <c r="C54" s="1">
        <v>4.0880700000000001</v>
      </c>
      <c r="D54" s="1">
        <v>2760.6</v>
      </c>
      <c r="E54" s="1">
        <v>1.61487</v>
      </c>
      <c r="F54" s="1">
        <v>89.442700000000002</v>
      </c>
    </row>
    <row r="55" spans="1:6" x14ac:dyDescent="0.2">
      <c r="A55" s="1" t="s">
        <v>95</v>
      </c>
      <c r="B55" s="1">
        <v>560.59299999999996</v>
      </c>
      <c r="C55" s="1">
        <v>4.8811299999999997</v>
      </c>
      <c r="D55" s="1">
        <v>2760.96</v>
      </c>
      <c r="E55" s="1">
        <v>1.9768699999999999</v>
      </c>
      <c r="F55" s="1">
        <v>98.387</v>
      </c>
    </row>
    <row r="56" spans="1:6" x14ac:dyDescent="0.2">
      <c r="A56" s="1" t="s">
        <v>96</v>
      </c>
      <c r="B56" s="1">
        <v>374.80799999999999</v>
      </c>
      <c r="C56" s="1">
        <v>4.2299100000000003</v>
      </c>
      <c r="D56" s="1">
        <v>2760.68</v>
      </c>
      <c r="E56" s="1">
        <v>1.70384</v>
      </c>
      <c r="F56" s="1">
        <v>93.9148</v>
      </c>
    </row>
    <row r="57" spans="1:6" x14ac:dyDescent="0.2">
      <c r="A57" s="1" t="s">
        <v>97</v>
      </c>
      <c r="B57" s="1">
        <v>374.80799999999999</v>
      </c>
      <c r="C57" s="1">
        <v>4.2299100000000003</v>
      </c>
      <c r="D57" s="1">
        <v>2760.68</v>
      </c>
      <c r="E57" s="1">
        <v>1.70384</v>
      </c>
      <c r="F57" s="1">
        <v>93.9148</v>
      </c>
    </row>
    <row r="58" spans="1:6" x14ac:dyDescent="0.2">
      <c r="A58" s="1" t="s">
        <v>99</v>
      </c>
      <c r="B58" s="1">
        <v>374.80799999999999</v>
      </c>
      <c r="C58" s="1">
        <v>4.2299100000000003</v>
      </c>
      <c r="D58" s="1">
        <v>2760.68</v>
      </c>
      <c r="E58" s="1">
        <v>1.70384</v>
      </c>
      <c r="F58" s="1">
        <v>93.9148</v>
      </c>
    </row>
    <row r="59" spans="1:6" x14ac:dyDescent="0.2">
      <c r="A59" s="1" t="s">
        <v>100</v>
      </c>
      <c r="B59" s="1">
        <v>218.495</v>
      </c>
      <c r="C59" s="1">
        <v>3.6524299999999998</v>
      </c>
      <c r="D59" s="1">
        <v>2760.35</v>
      </c>
      <c r="E59" s="1">
        <v>1.3694200000000001</v>
      </c>
      <c r="F59" s="1">
        <v>80.498400000000004</v>
      </c>
    </row>
    <row r="60" spans="1:6" x14ac:dyDescent="0.2">
      <c r="A60" s="1" t="s">
        <v>141</v>
      </c>
      <c r="B60" s="1">
        <v>326.15800000000002</v>
      </c>
      <c r="C60" s="1">
        <v>4.0880700000000001</v>
      </c>
      <c r="D60" s="1">
        <v>2760.6</v>
      </c>
      <c r="E60" s="1">
        <v>1.61487</v>
      </c>
      <c r="F60" s="1">
        <v>89.442700000000002</v>
      </c>
    </row>
    <row r="61" spans="1:6" x14ac:dyDescent="0.2">
      <c r="A61" s="1" t="s">
        <v>103</v>
      </c>
      <c r="B61" s="1">
        <v>223.923</v>
      </c>
      <c r="C61" s="1">
        <v>3.6096699999999999</v>
      </c>
      <c r="D61" s="1">
        <v>2760.38</v>
      </c>
      <c r="E61" s="1">
        <v>1.401</v>
      </c>
      <c r="F61" s="1">
        <v>84.970600000000005</v>
      </c>
    </row>
    <row r="62" spans="1:6" x14ac:dyDescent="0.2">
      <c r="A62" s="1" t="s">
        <v>104</v>
      </c>
      <c r="B62" s="1">
        <v>223.923</v>
      </c>
      <c r="C62" s="1">
        <v>3.6096699999999999</v>
      </c>
      <c r="D62" s="1">
        <v>2760.38</v>
      </c>
      <c r="E62" s="1">
        <v>1.401</v>
      </c>
      <c r="F62" s="1">
        <v>84.970600000000005</v>
      </c>
    </row>
    <row r="63" spans="1:6" x14ac:dyDescent="0.2">
      <c r="A63" s="1" t="s">
        <v>105</v>
      </c>
      <c r="B63" s="1">
        <v>326.15800000000002</v>
      </c>
      <c r="C63" s="1">
        <v>4.0880700000000001</v>
      </c>
      <c r="D63" s="1">
        <v>2760.6</v>
      </c>
      <c r="E63" s="1">
        <v>1.61487</v>
      </c>
      <c r="F63" s="1">
        <v>89.442700000000002</v>
      </c>
    </row>
    <row r="64" spans="1:6" x14ac:dyDescent="0.2">
      <c r="A64" s="1" t="s">
        <v>160</v>
      </c>
      <c r="B64" s="1">
        <v>218.495</v>
      </c>
      <c r="C64" s="1">
        <v>3.6524299999999998</v>
      </c>
      <c r="D64" s="1">
        <v>2760.35</v>
      </c>
      <c r="E64" s="1">
        <v>1.3694200000000001</v>
      </c>
      <c r="F64" s="1">
        <v>80.498400000000004</v>
      </c>
    </row>
    <row r="65" spans="1:6" x14ac:dyDescent="0.2">
      <c r="A65" s="1" t="s">
        <v>156</v>
      </c>
      <c r="B65" s="1">
        <v>560.59299999999996</v>
      </c>
      <c r="C65" s="1">
        <v>4.8811299999999997</v>
      </c>
      <c r="D65" s="1">
        <v>2760.96</v>
      </c>
      <c r="E65" s="1">
        <v>1.9768699999999999</v>
      </c>
      <c r="F65" s="1">
        <v>98.387</v>
      </c>
    </row>
    <row r="66" spans="1:6" x14ac:dyDescent="0.2">
      <c r="A66" s="1" t="s">
        <v>106</v>
      </c>
      <c r="B66" s="1">
        <v>374.80799999999999</v>
      </c>
      <c r="C66" s="1">
        <v>4.2299100000000003</v>
      </c>
      <c r="D66" s="1">
        <v>2760.68</v>
      </c>
      <c r="E66" s="1">
        <v>1.70384</v>
      </c>
      <c r="F66" s="1">
        <v>93.9148</v>
      </c>
    </row>
    <row r="67" spans="1:6" x14ac:dyDescent="0.2">
      <c r="A67" s="1" t="s">
        <v>107</v>
      </c>
      <c r="B67" s="1">
        <v>223.923</v>
      </c>
      <c r="C67" s="1">
        <v>3.6096699999999999</v>
      </c>
      <c r="D67" s="1">
        <v>2760.38</v>
      </c>
      <c r="E67" s="1">
        <v>1.401</v>
      </c>
      <c r="F67" s="1">
        <v>84.970600000000005</v>
      </c>
    </row>
    <row r="68" spans="1:6" x14ac:dyDescent="0.2">
      <c r="A68" s="1" t="s">
        <v>108</v>
      </c>
      <c r="B68" s="1">
        <v>326.15800000000002</v>
      </c>
      <c r="C68" s="1">
        <v>4.0880700000000001</v>
      </c>
      <c r="D68" s="1">
        <v>2760.6</v>
      </c>
      <c r="E68" s="1">
        <v>1.61487</v>
      </c>
      <c r="F68" s="1">
        <v>89.442700000000002</v>
      </c>
    </row>
    <row r="69" spans="1:6" x14ac:dyDescent="0.2">
      <c r="A69" s="1" t="s">
        <v>109</v>
      </c>
      <c r="B69" s="1">
        <v>265.26499999999999</v>
      </c>
      <c r="C69" s="1">
        <v>4.1115500000000003</v>
      </c>
      <c r="D69" s="1">
        <v>2760.42</v>
      </c>
      <c r="E69" s="1">
        <v>1.4366000000000001</v>
      </c>
      <c r="F69" s="1">
        <v>71.554199999999994</v>
      </c>
    </row>
    <row r="70" spans="1:6" x14ac:dyDescent="0.2">
      <c r="A70" s="1" t="s">
        <v>110</v>
      </c>
      <c r="B70" s="1">
        <v>245.91900000000001</v>
      </c>
      <c r="C70" s="1">
        <v>3.89968</v>
      </c>
      <c r="D70" s="1">
        <v>2760.4</v>
      </c>
      <c r="E70" s="1">
        <v>1.41553</v>
      </c>
      <c r="F70" s="1">
        <v>76.026300000000006</v>
      </c>
    </row>
    <row r="71" spans="1:6" x14ac:dyDescent="0.2">
      <c r="A71" s="1" t="s">
        <v>167</v>
      </c>
      <c r="B71" s="1">
        <v>223.923</v>
      </c>
      <c r="C71" s="1">
        <v>3.6096699999999999</v>
      </c>
      <c r="D71" s="1">
        <v>2760.38</v>
      </c>
      <c r="E71" s="1">
        <v>1.401</v>
      </c>
      <c r="F71" s="1">
        <v>84.970600000000005</v>
      </c>
    </row>
    <row r="72" spans="1:6" x14ac:dyDescent="0.2">
      <c r="A72" s="1" t="s">
        <v>112</v>
      </c>
      <c r="B72" s="1">
        <v>223.923</v>
      </c>
      <c r="C72" s="1">
        <v>3.6096699999999999</v>
      </c>
      <c r="D72" s="1">
        <v>2760.38</v>
      </c>
      <c r="E72" s="1">
        <v>1.401</v>
      </c>
      <c r="F72" s="1">
        <v>84.970600000000005</v>
      </c>
    </row>
    <row r="73" spans="1:6" x14ac:dyDescent="0.2">
      <c r="A73" s="1" t="s">
        <v>7</v>
      </c>
      <c r="B73" s="1">
        <v>223.923</v>
      </c>
      <c r="C73" s="1">
        <v>3.6096699999999999</v>
      </c>
      <c r="D73" s="1">
        <v>2760.38</v>
      </c>
      <c r="E73" s="1">
        <v>1.401</v>
      </c>
      <c r="F73" s="1">
        <v>84.970600000000005</v>
      </c>
    </row>
    <row r="74" spans="1:6" x14ac:dyDescent="0.2">
      <c r="A74" s="1" t="s">
        <v>8</v>
      </c>
      <c r="B74" s="1">
        <v>245.91900000000001</v>
      </c>
      <c r="C74" s="1">
        <v>3.89968</v>
      </c>
      <c r="D74" s="1">
        <v>2760.4</v>
      </c>
      <c r="E74" s="1">
        <v>1.41553</v>
      </c>
      <c r="F74" s="1">
        <v>76.026300000000006</v>
      </c>
    </row>
    <row r="75" spans="1:6" x14ac:dyDescent="0.2">
      <c r="A75" s="1" t="s">
        <v>9</v>
      </c>
      <c r="B75" s="1">
        <v>57.088000000000001</v>
      </c>
      <c r="C75" s="1">
        <v>2.58432</v>
      </c>
      <c r="D75" s="1">
        <v>2759.72</v>
      </c>
      <c r="E75" s="1">
        <v>0.73758999999999997</v>
      </c>
      <c r="F75" s="1">
        <v>49.1935</v>
      </c>
    </row>
    <row r="76" spans="1:6" x14ac:dyDescent="0.2">
      <c r="A76" s="1" t="s">
        <v>10</v>
      </c>
      <c r="B76" s="1">
        <v>134.67400000000001</v>
      </c>
      <c r="C76" s="1">
        <v>3.3008000000000002</v>
      </c>
      <c r="D76" s="1">
        <v>2760.06</v>
      </c>
      <c r="E76" s="1">
        <v>1.0823700000000001</v>
      </c>
      <c r="F76" s="1">
        <v>62.609900000000003</v>
      </c>
    </row>
    <row r="77" spans="1:6" x14ac:dyDescent="0.2">
      <c r="A77" s="1" t="s">
        <v>143</v>
      </c>
      <c r="B77" s="1">
        <v>134.67400000000001</v>
      </c>
      <c r="C77" s="1">
        <v>3.3008000000000002</v>
      </c>
      <c r="D77" s="1">
        <v>2760.06</v>
      </c>
      <c r="E77" s="1">
        <v>1.0823700000000001</v>
      </c>
      <c r="F77" s="1">
        <v>62.609900000000003</v>
      </c>
    </row>
    <row r="78" spans="1:6" x14ac:dyDescent="0.2">
      <c r="A78" s="1" t="s">
        <v>115</v>
      </c>
      <c r="B78" s="1">
        <v>245.91900000000001</v>
      </c>
      <c r="C78" s="1">
        <v>3.89968</v>
      </c>
      <c r="D78" s="1">
        <v>2760.4</v>
      </c>
      <c r="E78" s="1">
        <v>1.41553</v>
      </c>
      <c r="F78" s="1">
        <v>76.026300000000006</v>
      </c>
    </row>
    <row r="79" spans="1:6" x14ac:dyDescent="0.2">
      <c r="A79" s="1" t="s">
        <v>144</v>
      </c>
      <c r="B79" s="1">
        <v>245.91900000000001</v>
      </c>
      <c r="C79" s="1">
        <v>3.89968</v>
      </c>
      <c r="D79" s="1">
        <v>2760.4</v>
      </c>
      <c r="E79" s="1">
        <v>1.41553</v>
      </c>
      <c r="F79" s="1">
        <v>76.026300000000006</v>
      </c>
    </row>
    <row r="80" spans="1:6" x14ac:dyDescent="0.2">
      <c r="A80" s="1" t="s">
        <v>116</v>
      </c>
      <c r="B80" s="1">
        <v>113.16800000000001</v>
      </c>
      <c r="C80" s="1">
        <v>3.15801</v>
      </c>
      <c r="D80" s="1">
        <v>2759.98</v>
      </c>
      <c r="E80" s="1">
        <v>1.0008900000000001</v>
      </c>
      <c r="F80" s="1">
        <v>58.137799999999999</v>
      </c>
    </row>
    <row r="81" spans="1:6" x14ac:dyDescent="0.2">
      <c r="A81" s="1" t="s">
        <v>117</v>
      </c>
      <c r="B81" s="1">
        <v>57.088000000000001</v>
      </c>
      <c r="C81" s="1">
        <v>2.58432</v>
      </c>
      <c r="D81" s="1">
        <v>2759.72</v>
      </c>
      <c r="E81" s="1">
        <v>0.73758999999999997</v>
      </c>
      <c r="F81" s="1">
        <v>49.1935</v>
      </c>
    </row>
    <row r="82" spans="1:6" x14ac:dyDescent="0.2">
      <c r="A82" s="1" t="s">
        <v>118</v>
      </c>
      <c r="B82" s="1">
        <v>57.088000000000001</v>
      </c>
      <c r="C82" s="1">
        <v>2.58432</v>
      </c>
      <c r="D82" s="1">
        <v>2759.72</v>
      </c>
      <c r="E82" s="1">
        <v>0.73758999999999997</v>
      </c>
      <c r="F82" s="1">
        <v>49.1935</v>
      </c>
    </row>
    <row r="83" spans="1:6" x14ac:dyDescent="0.2">
      <c r="A83" s="1" t="s">
        <v>13</v>
      </c>
      <c r="B83" s="1">
        <v>218.495</v>
      </c>
      <c r="C83" s="1">
        <v>3.6524299999999998</v>
      </c>
      <c r="D83" s="1">
        <v>2760.35</v>
      </c>
      <c r="E83" s="1">
        <v>1.3694200000000001</v>
      </c>
      <c r="F83" s="1">
        <v>80.498400000000004</v>
      </c>
    </row>
    <row r="84" spans="1:6" x14ac:dyDescent="0.2">
      <c r="A84" s="1" t="s">
        <v>14</v>
      </c>
      <c r="B84" s="1">
        <v>113.16800000000001</v>
      </c>
      <c r="C84" s="1">
        <v>3.15801</v>
      </c>
      <c r="D84" s="1">
        <v>2759.98</v>
      </c>
      <c r="E84" s="1">
        <v>1.0008900000000001</v>
      </c>
      <c r="F84" s="1">
        <v>58.137799999999999</v>
      </c>
    </row>
    <row r="85" spans="1:6" x14ac:dyDescent="0.2">
      <c r="A85" s="1" t="s">
        <v>16</v>
      </c>
      <c r="B85" s="1">
        <v>196.274</v>
      </c>
      <c r="C85" s="1">
        <v>3.7361399999999998</v>
      </c>
      <c r="D85" s="1">
        <v>2760.24</v>
      </c>
      <c r="E85" s="1">
        <v>1.2628699999999999</v>
      </c>
      <c r="F85" s="1">
        <v>67.081999999999994</v>
      </c>
    </row>
    <row r="86" spans="1:6" x14ac:dyDescent="0.2">
      <c r="A86" s="1" t="s">
        <v>17</v>
      </c>
      <c r="B86" s="1">
        <v>245.91900000000001</v>
      </c>
      <c r="C86" s="1">
        <v>3.89968</v>
      </c>
      <c r="D86" s="1">
        <v>2760.4</v>
      </c>
      <c r="E86" s="1">
        <v>1.41553</v>
      </c>
      <c r="F86" s="1">
        <v>76.026300000000006</v>
      </c>
    </row>
    <row r="87" spans="1:6" x14ac:dyDescent="0.2">
      <c r="A87" s="1" t="s">
        <v>21</v>
      </c>
      <c r="B87" s="1">
        <v>218.495</v>
      </c>
      <c r="C87" s="1">
        <v>3.6524299999999998</v>
      </c>
      <c r="D87" s="1">
        <v>2760.35</v>
      </c>
      <c r="E87" s="1">
        <v>1.3694200000000001</v>
      </c>
      <c r="F87" s="1">
        <v>80.498400000000004</v>
      </c>
    </row>
    <row r="88" spans="1:6" x14ac:dyDescent="0.2">
      <c r="A88" s="1" t="s">
        <v>22</v>
      </c>
      <c r="B88" s="1">
        <v>57.088000000000001</v>
      </c>
      <c r="C88" s="1">
        <v>2.58432</v>
      </c>
      <c r="D88" s="1">
        <v>2759.72</v>
      </c>
      <c r="E88" s="1">
        <v>0.73758999999999997</v>
      </c>
      <c r="F88" s="1">
        <v>49.1935</v>
      </c>
    </row>
    <row r="89" spans="1:6" x14ac:dyDescent="0.2">
      <c r="A89" s="1" t="s">
        <v>124</v>
      </c>
      <c r="B89" s="1">
        <v>7.8719700000000004E-2</v>
      </c>
      <c r="C89" s="1">
        <v>0.29320200000000002</v>
      </c>
      <c r="D89" s="1">
        <v>2759.13</v>
      </c>
      <c r="E89" s="1">
        <v>0.153973</v>
      </c>
      <c r="F89" s="1">
        <v>17.888500000000001</v>
      </c>
    </row>
    <row r="90" spans="1:6" x14ac:dyDescent="0.2">
      <c r="A90" s="1" t="s">
        <v>168</v>
      </c>
      <c r="B90" s="1">
        <v>113.16800000000001</v>
      </c>
      <c r="C90" s="1">
        <v>3.15801</v>
      </c>
      <c r="D90" s="1">
        <v>2759.98</v>
      </c>
      <c r="E90" s="1">
        <v>1.0008900000000001</v>
      </c>
      <c r="F90" s="1">
        <v>58.137799999999999</v>
      </c>
    </row>
    <row r="91" spans="1:6" x14ac:dyDescent="0.2">
      <c r="A91" s="1" t="s">
        <v>169</v>
      </c>
      <c r="B91" s="1">
        <v>57.088000000000001</v>
      </c>
      <c r="C91" s="1">
        <v>2.58432</v>
      </c>
      <c r="D91" s="1">
        <v>2759.72</v>
      </c>
      <c r="E91" s="1">
        <v>0.73758999999999997</v>
      </c>
      <c r="F91" s="1">
        <v>49.1935</v>
      </c>
    </row>
    <row r="92" spans="1:6" x14ac:dyDescent="0.2">
      <c r="A92" s="1" t="s">
        <v>146</v>
      </c>
      <c r="B92" s="1">
        <v>16.003599999999999</v>
      </c>
      <c r="C92" s="1">
        <v>1.67123</v>
      </c>
      <c r="D92" s="1">
        <v>2759.45</v>
      </c>
      <c r="E92" s="1">
        <v>0.47219800000000001</v>
      </c>
      <c r="F92" s="1">
        <v>40.249200000000002</v>
      </c>
    </row>
    <row r="93" spans="1:6" x14ac:dyDescent="0.2">
      <c r="A93" s="1" t="s">
        <v>24</v>
      </c>
      <c r="B93" s="1">
        <v>57.088000000000001</v>
      </c>
      <c r="C93" s="1">
        <v>2.58432</v>
      </c>
      <c r="D93" s="1">
        <v>2759.72</v>
      </c>
      <c r="E93" s="1">
        <v>0.73758999999999997</v>
      </c>
      <c r="F93" s="1">
        <v>49.1935</v>
      </c>
    </row>
    <row r="94" spans="1:6" x14ac:dyDescent="0.2">
      <c r="A94" s="1" t="s">
        <v>161</v>
      </c>
      <c r="B94" s="1">
        <v>196.274</v>
      </c>
      <c r="C94" s="1">
        <v>3.7361399999999998</v>
      </c>
      <c r="D94" s="1">
        <v>2760.24</v>
      </c>
      <c r="E94" s="1">
        <v>1.2628699999999999</v>
      </c>
      <c r="F94" s="1">
        <v>67.081999999999994</v>
      </c>
    </row>
    <row r="95" spans="1:6" x14ac:dyDescent="0.2">
      <c r="A95" s="1" t="s">
        <v>26</v>
      </c>
      <c r="B95" s="1">
        <v>218.495</v>
      </c>
      <c r="C95" s="1">
        <v>3.6524299999999998</v>
      </c>
      <c r="D95" s="1">
        <v>2760.35</v>
      </c>
      <c r="E95" s="1">
        <v>1.3694200000000001</v>
      </c>
      <c r="F95" s="1">
        <v>80.498400000000004</v>
      </c>
    </row>
    <row r="96" spans="1:6" x14ac:dyDescent="0.2">
      <c r="A96" s="1" t="s">
        <v>127</v>
      </c>
      <c r="B96" s="1">
        <v>326.15800000000002</v>
      </c>
      <c r="C96" s="1">
        <v>4.0880700000000001</v>
      </c>
      <c r="D96" s="1">
        <v>2760.6</v>
      </c>
      <c r="E96" s="1">
        <v>1.61487</v>
      </c>
      <c r="F96" s="1">
        <v>89.442700000000002</v>
      </c>
    </row>
    <row r="97" spans="1:6" x14ac:dyDescent="0.2">
      <c r="A97" s="1" t="s">
        <v>29</v>
      </c>
      <c r="B97" s="1">
        <v>103.39700000000001</v>
      </c>
      <c r="C97" s="1">
        <v>3.17448</v>
      </c>
      <c r="D97" s="1">
        <v>2759.92</v>
      </c>
      <c r="E97" s="1">
        <v>0.94249400000000005</v>
      </c>
      <c r="F97" s="1">
        <v>53.665599999999998</v>
      </c>
    </row>
    <row r="98" spans="1:6" x14ac:dyDescent="0.2">
      <c r="A98" s="1" t="s">
        <v>30</v>
      </c>
      <c r="B98" s="1">
        <v>16.003599999999999</v>
      </c>
      <c r="C98" s="1">
        <v>1.67123</v>
      </c>
      <c r="D98" s="1">
        <v>2759.45</v>
      </c>
      <c r="E98" s="1">
        <v>0.47219800000000001</v>
      </c>
      <c r="F98" s="1">
        <v>40.249200000000002</v>
      </c>
    </row>
    <row r="99" spans="1:6" x14ac:dyDescent="0.2">
      <c r="A99" s="1" t="s">
        <v>157</v>
      </c>
      <c r="B99" s="1">
        <v>0.72485200000000005</v>
      </c>
      <c r="C99" s="1">
        <v>0.74945899999999999</v>
      </c>
      <c r="D99" s="1">
        <v>2759.23</v>
      </c>
      <c r="E99" s="1">
        <v>0.248886</v>
      </c>
      <c r="F99" s="1">
        <v>13.416399999999999</v>
      </c>
    </row>
    <row r="100" spans="1:6" x14ac:dyDescent="0.2">
      <c r="A100" s="1" t="s">
        <v>130</v>
      </c>
      <c r="B100" s="1">
        <v>26.2607</v>
      </c>
      <c r="C100" s="1">
        <v>1.9641299999999999</v>
      </c>
      <c r="D100" s="1">
        <v>2759.53</v>
      </c>
      <c r="E100" s="1">
        <v>0.55221600000000004</v>
      </c>
      <c r="F100" s="1">
        <v>44.721400000000003</v>
      </c>
    </row>
    <row r="101" spans="1:6" x14ac:dyDescent="0.2">
      <c r="A101" s="1" t="s">
        <v>31</v>
      </c>
      <c r="B101" s="1">
        <v>134.67400000000001</v>
      </c>
      <c r="C101" s="1">
        <v>3.3008000000000002</v>
      </c>
      <c r="D101" s="1">
        <v>2760.06</v>
      </c>
      <c r="E101" s="1">
        <v>1.0823700000000001</v>
      </c>
      <c r="F101" s="1">
        <v>62.609900000000003</v>
      </c>
    </row>
    <row r="102" spans="1:6" x14ac:dyDescent="0.2">
      <c r="A102" s="1" t="s">
        <v>170</v>
      </c>
      <c r="B102" s="1">
        <v>57.088000000000001</v>
      </c>
      <c r="C102" s="1">
        <v>2.58432</v>
      </c>
      <c r="D102" s="1">
        <v>2759.72</v>
      </c>
      <c r="E102" s="1">
        <v>0.73758999999999997</v>
      </c>
      <c r="F102" s="1">
        <v>49.1935</v>
      </c>
    </row>
    <row r="103" spans="1:6" x14ac:dyDescent="0.2">
      <c r="A103" s="1" t="s">
        <v>133</v>
      </c>
      <c r="B103" s="1">
        <v>26.2607</v>
      </c>
      <c r="C103" s="1">
        <v>1.9641299999999999</v>
      </c>
      <c r="D103" s="1">
        <v>2759.53</v>
      </c>
      <c r="E103" s="1">
        <v>0.55221600000000004</v>
      </c>
      <c r="F103" s="1">
        <v>44.721400000000003</v>
      </c>
    </row>
    <row r="104" spans="1:6" x14ac:dyDescent="0.2">
      <c r="A104" s="1" t="s">
        <v>134</v>
      </c>
      <c r="B104" s="1">
        <v>0.72485200000000005</v>
      </c>
      <c r="C104" s="1">
        <v>0.74945899999999999</v>
      </c>
      <c r="D104" s="1">
        <v>2759.23</v>
      </c>
      <c r="E104" s="1">
        <v>0.248886</v>
      </c>
      <c r="F104" s="1">
        <v>13.416399999999999</v>
      </c>
    </row>
    <row r="105" spans="1:6" x14ac:dyDescent="0.2">
      <c r="A105" s="1" t="s">
        <v>32</v>
      </c>
      <c r="B105" s="1">
        <v>0.31678499999999998</v>
      </c>
      <c r="C105" s="1">
        <v>0.445411</v>
      </c>
      <c r="D105" s="1">
        <v>2759.15</v>
      </c>
      <c r="E105" s="1">
        <v>0.17018800000000001</v>
      </c>
      <c r="F105" s="1">
        <v>22.360700000000001</v>
      </c>
    </row>
    <row r="106" spans="1:6" x14ac:dyDescent="0.2">
      <c r="A106" s="1" t="s">
        <v>135</v>
      </c>
      <c r="B106" s="1">
        <v>0.31678499999999998</v>
      </c>
      <c r="C106" s="1">
        <v>0.445411</v>
      </c>
      <c r="D106" s="1">
        <v>2759.15</v>
      </c>
      <c r="E106" s="1">
        <v>0.17018800000000001</v>
      </c>
      <c r="F106" s="1">
        <v>22.360700000000001</v>
      </c>
    </row>
    <row r="107" spans="1:6" x14ac:dyDescent="0.2">
      <c r="A107" s="1" t="s">
        <v>148</v>
      </c>
      <c r="B107" s="1">
        <v>0.21102199999999999</v>
      </c>
      <c r="C107" s="1">
        <v>0.80153399999999997</v>
      </c>
      <c r="D107" s="1">
        <v>2759.14</v>
      </c>
      <c r="E107" s="1">
        <v>0.15529999999999999</v>
      </c>
      <c r="F107" s="1">
        <v>4.4721399999999996</v>
      </c>
    </row>
    <row r="108" spans="1:6" x14ac:dyDescent="0.2">
      <c r="A108" s="1" t="s">
        <v>35</v>
      </c>
      <c r="B108" s="1">
        <v>16.003599999999999</v>
      </c>
      <c r="C108" s="1">
        <v>1.67123</v>
      </c>
      <c r="D108" s="1">
        <v>2759.45</v>
      </c>
      <c r="E108" s="1">
        <v>0.47219800000000001</v>
      </c>
      <c r="F108" s="1">
        <v>40.249200000000002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5EAA3-8D5D-4C56-929E-9B94C14BD5C5}">
  <dimension ref="A1:A3"/>
  <sheetViews>
    <sheetView workbookViewId="0">
      <selection activeCell="M19" sqref="M19"/>
    </sheetView>
  </sheetViews>
  <sheetFormatPr defaultRowHeight="14.25" x14ac:dyDescent="0.2"/>
  <sheetData>
    <row r="1" spans="1:1" x14ac:dyDescent="0.2">
      <c r="A1" t="s">
        <v>172</v>
      </c>
    </row>
    <row r="2" spans="1:1" x14ac:dyDescent="0.2">
      <c r="A2" t="s">
        <v>173</v>
      </c>
    </row>
    <row r="3" spans="1:1" x14ac:dyDescent="0.2">
      <c r="A3" t="s">
        <v>174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39D96-8AF3-4206-B236-EFEF4DA8F82D}">
  <dimension ref="A1:A3"/>
  <sheetViews>
    <sheetView workbookViewId="0">
      <selection activeCell="G24" sqref="G24"/>
    </sheetView>
  </sheetViews>
  <sheetFormatPr defaultRowHeight="14.25" x14ac:dyDescent="0.2"/>
  <sheetData>
    <row r="1" spans="1:1" x14ac:dyDescent="0.2">
      <c r="A1" t="s">
        <v>172</v>
      </c>
    </row>
    <row r="2" spans="1:1" x14ac:dyDescent="0.2">
      <c r="A2" t="s">
        <v>173</v>
      </c>
    </row>
    <row r="3" spans="1:1" x14ac:dyDescent="0.2">
      <c r="A3" t="s">
        <v>174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2756F-2092-44DA-BEB9-E582394D1016}">
  <dimension ref="A1:F67"/>
  <sheetViews>
    <sheetView workbookViewId="0">
      <selection activeCell="L12" sqref="L12"/>
    </sheetView>
  </sheetViews>
  <sheetFormatPr defaultRowHeight="14.25" x14ac:dyDescent="0.2"/>
  <cols>
    <col min="1" max="16384" width="9" style="1"/>
  </cols>
  <sheetData>
    <row r="1" spans="1:6" x14ac:dyDescent="0.2">
      <c r="A1" s="1" t="s">
        <v>171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37</v>
      </c>
      <c r="B2" s="1">
        <v>9.7648399999999995</v>
      </c>
      <c r="C2" s="1">
        <v>0.959063</v>
      </c>
      <c r="D2" s="1">
        <v>3129.41</v>
      </c>
      <c r="E2" s="1">
        <v>0.63984799999999997</v>
      </c>
      <c r="F2" s="1">
        <v>85</v>
      </c>
    </row>
    <row r="3" spans="1:6" x14ac:dyDescent="0.2">
      <c r="A3" s="1" t="s">
        <v>38</v>
      </c>
      <c r="B3" s="1">
        <v>0.52119199999999999</v>
      </c>
      <c r="C3" s="1">
        <v>0.44175700000000001</v>
      </c>
      <c r="D3" s="1">
        <v>3128.97</v>
      </c>
      <c r="E3" s="1">
        <v>0.20005999999999999</v>
      </c>
      <c r="F3" s="1">
        <v>15</v>
      </c>
    </row>
    <row r="4" spans="1:6" x14ac:dyDescent="0.2">
      <c r="A4" s="1" t="s">
        <v>39</v>
      </c>
      <c r="B4" s="1">
        <v>0</v>
      </c>
      <c r="C4" s="1">
        <v>0</v>
      </c>
      <c r="D4" s="1">
        <v>0</v>
      </c>
      <c r="E4" s="1">
        <v>0</v>
      </c>
      <c r="F4" s="1">
        <v>0</v>
      </c>
    </row>
    <row r="5" spans="1:6" x14ac:dyDescent="0.2">
      <c r="A5" s="1" t="s">
        <v>40</v>
      </c>
      <c r="B5" s="1">
        <v>4.86944</v>
      </c>
      <c r="C5" s="1">
        <v>0.95939300000000005</v>
      </c>
      <c r="D5" s="1">
        <v>3129.19</v>
      </c>
      <c r="E5" s="1">
        <v>0.42424000000000001</v>
      </c>
      <c r="F5" s="1">
        <v>20</v>
      </c>
    </row>
    <row r="6" spans="1:6" x14ac:dyDescent="0.2">
      <c r="A6" s="1" t="s">
        <v>137</v>
      </c>
      <c r="B6" s="1">
        <v>54.857199999999999</v>
      </c>
      <c r="C6" s="1">
        <v>1.93391</v>
      </c>
      <c r="D6" s="1">
        <v>3129.98</v>
      </c>
      <c r="E6" s="1">
        <v>1.21254</v>
      </c>
      <c r="F6" s="1">
        <v>40</v>
      </c>
    </row>
    <row r="7" spans="1:6" x14ac:dyDescent="0.2">
      <c r="A7" s="1" t="s">
        <v>41</v>
      </c>
      <c r="B7" s="1">
        <v>4.86944</v>
      </c>
      <c r="C7" s="1">
        <v>0.95939300000000005</v>
      </c>
      <c r="D7" s="1">
        <v>3129.19</v>
      </c>
      <c r="E7" s="1">
        <v>0.42424000000000001</v>
      </c>
      <c r="F7" s="1">
        <v>20</v>
      </c>
    </row>
    <row r="8" spans="1:6" x14ac:dyDescent="0.2">
      <c r="A8" s="1" t="s">
        <v>42</v>
      </c>
      <c r="B8" s="1">
        <v>14.6782</v>
      </c>
      <c r="C8" s="1">
        <v>1.36412</v>
      </c>
      <c r="D8" s="1">
        <v>3129.45</v>
      </c>
      <c r="E8" s="1">
        <v>0.68403599999999998</v>
      </c>
      <c r="F8" s="1">
        <v>25</v>
      </c>
    </row>
    <row r="9" spans="1:6" x14ac:dyDescent="0.2">
      <c r="A9" s="1" t="s">
        <v>43</v>
      </c>
      <c r="B9" s="1">
        <v>15.1532</v>
      </c>
      <c r="C9" s="1">
        <v>1.1069100000000001</v>
      </c>
      <c r="D9" s="1">
        <v>3129.55</v>
      </c>
      <c r="E9" s="1">
        <v>0.78568800000000005</v>
      </c>
      <c r="F9" s="1">
        <v>45</v>
      </c>
    </row>
    <row r="10" spans="1:6" x14ac:dyDescent="0.2">
      <c r="A10" s="1" t="s">
        <v>44</v>
      </c>
      <c r="B10" s="1">
        <v>0.52119199999999999</v>
      </c>
      <c r="C10" s="1">
        <v>0.44175700000000001</v>
      </c>
      <c r="D10" s="1">
        <v>3128.97</v>
      </c>
      <c r="E10" s="1">
        <v>0.20005999999999999</v>
      </c>
      <c r="F10" s="1">
        <v>15</v>
      </c>
    </row>
    <row r="11" spans="1:6" x14ac:dyDescent="0.2">
      <c r="A11" s="1" t="s">
        <v>45</v>
      </c>
      <c r="B11" s="1">
        <v>0.110001</v>
      </c>
      <c r="C11" s="1">
        <v>0.28395700000000001</v>
      </c>
      <c r="D11" s="1">
        <v>3128.9</v>
      </c>
      <c r="E11" s="1">
        <v>0.133604</v>
      </c>
      <c r="F11" s="1">
        <v>10</v>
      </c>
    </row>
    <row r="12" spans="1:6" x14ac:dyDescent="0.2">
      <c r="A12" s="1" t="s">
        <v>47</v>
      </c>
      <c r="B12" s="1">
        <v>0.52119199999999999</v>
      </c>
      <c r="C12" s="1">
        <v>0.44175700000000001</v>
      </c>
      <c r="D12" s="1">
        <v>3128.97</v>
      </c>
      <c r="E12" s="1">
        <v>0.20005999999999999</v>
      </c>
      <c r="F12" s="1">
        <v>15</v>
      </c>
    </row>
    <row r="13" spans="1:6" x14ac:dyDescent="0.2">
      <c r="A13" s="1" t="s">
        <v>48</v>
      </c>
      <c r="B13" s="1">
        <v>14.6782</v>
      </c>
      <c r="C13" s="1">
        <v>1.36412</v>
      </c>
      <c r="D13" s="1">
        <v>3129.45</v>
      </c>
      <c r="E13" s="1">
        <v>0.68403599999999998</v>
      </c>
      <c r="F13" s="1">
        <v>25</v>
      </c>
    </row>
    <row r="14" spans="1:6" x14ac:dyDescent="0.2">
      <c r="A14" s="1" t="s">
        <v>52</v>
      </c>
      <c r="B14" s="1">
        <v>0.52119199999999999</v>
      </c>
      <c r="C14" s="1">
        <v>0.44175700000000001</v>
      </c>
      <c r="D14" s="1">
        <v>3128.97</v>
      </c>
      <c r="E14" s="1">
        <v>0.20005999999999999</v>
      </c>
      <c r="F14" s="1">
        <v>15</v>
      </c>
    </row>
    <row r="15" spans="1:6" x14ac:dyDescent="0.2">
      <c r="A15" s="1" t="s">
        <v>53</v>
      </c>
      <c r="B15" s="1">
        <v>0.110001</v>
      </c>
      <c r="C15" s="1">
        <v>0.28395700000000001</v>
      </c>
      <c r="D15" s="1">
        <v>3128.9</v>
      </c>
      <c r="E15" s="1">
        <v>0.133604</v>
      </c>
      <c r="F15" s="1">
        <v>10</v>
      </c>
    </row>
    <row r="16" spans="1:6" x14ac:dyDescent="0.2">
      <c r="A16" s="1" t="s">
        <v>57</v>
      </c>
      <c r="B16" s="1">
        <v>42.001100000000001</v>
      </c>
      <c r="C16" s="1">
        <v>1.35111</v>
      </c>
      <c r="D16" s="1">
        <v>3129.86</v>
      </c>
      <c r="E16" s="1">
        <v>1.08786</v>
      </c>
      <c r="F16" s="1">
        <v>75</v>
      </c>
    </row>
    <row r="17" spans="1:6" x14ac:dyDescent="0.2">
      <c r="A17" s="1" t="s">
        <v>59</v>
      </c>
      <c r="B17" s="1">
        <v>35.153399999999998</v>
      </c>
      <c r="C17" s="1">
        <v>1.6926300000000001</v>
      </c>
      <c r="D17" s="1">
        <v>3129.77</v>
      </c>
      <c r="E17" s="1">
        <v>1.00528</v>
      </c>
      <c r="F17" s="1">
        <v>35</v>
      </c>
    </row>
    <row r="18" spans="1:6" x14ac:dyDescent="0.2">
      <c r="A18" s="1" t="s">
        <v>61</v>
      </c>
      <c r="B18" s="1">
        <v>0.110001</v>
      </c>
      <c r="C18" s="1">
        <v>0.28395700000000001</v>
      </c>
      <c r="D18" s="1">
        <v>3128.9</v>
      </c>
      <c r="E18" s="1">
        <v>0.133604</v>
      </c>
      <c r="F18" s="1">
        <v>10</v>
      </c>
    </row>
    <row r="19" spans="1:6" x14ac:dyDescent="0.2">
      <c r="A19" s="1" t="s">
        <v>62</v>
      </c>
      <c r="B19" s="1">
        <v>54.857199999999999</v>
      </c>
      <c r="C19" s="1">
        <v>1.93391</v>
      </c>
      <c r="D19" s="1">
        <v>3129.98</v>
      </c>
      <c r="E19" s="1">
        <v>1.21254</v>
      </c>
      <c r="F19" s="1">
        <v>40</v>
      </c>
    </row>
    <row r="20" spans="1:6" x14ac:dyDescent="0.2">
      <c r="A20" s="1" t="s">
        <v>63</v>
      </c>
      <c r="B20" s="1">
        <v>0.52119199999999999</v>
      </c>
      <c r="C20" s="1">
        <v>0.44175700000000001</v>
      </c>
      <c r="D20" s="1">
        <v>3128.97</v>
      </c>
      <c r="E20" s="1">
        <v>0.20005999999999999</v>
      </c>
      <c r="F20" s="1">
        <v>15</v>
      </c>
    </row>
    <row r="21" spans="1:6" x14ac:dyDescent="0.2">
      <c r="A21" s="1" t="s">
        <v>64</v>
      </c>
      <c r="B21" s="1">
        <v>0.52119199999999999</v>
      </c>
      <c r="C21" s="1">
        <v>0.44175700000000001</v>
      </c>
      <c r="D21" s="1">
        <v>3128.97</v>
      </c>
      <c r="E21" s="1">
        <v>0.20005999999999999</v>
      </c>
      <c r="F21" s="1">
        <v>15</v>
      </c>
    </row>
    <row r="22" spans="1:6" x14ac:dyDescent="0.2">
      <c r="A22" s="1" t="s">
        <v>65</v>
      </c>
      <c r="B22" s="1">
        <v>0.16170599999999999</v>
      </c>
      <c r="C22" s="1">
        <v>0.429759</v>
      </c>
      <c r="D22" s="1">
        <v>3128.9</v>
      </c>
      <c r="E22" s="1">
        <v>0.133604</v>
      </c>
      <c r="F22" s="1">
        <v>5</v>
      </c>
    </row>
    <row r="23" spans="1:6" x14ac:dyDescent="0.2">
      <c r="A23" s="1" t="s">
        <v>66</v>
      </c>
      <c r="B23" s="1">
        <v>15.1532</v>
      </c>
      <c r="C23" s="1">
        <v>1.1069100000000001</v>
      </c>
      <c r="D23" s="1">
        <v>3129.55</v>
      </c>
      <c r="E23" s="1">
        <v>0.78568800000000005</v>
      </c>
      <c r="F23" s="1">
        <v>45</v>
      </c>
    </row>
    <row r="24" spans="1:6" x14ac:dyDescent="0.2">
      <c r="A24" s="1" t="s">
        <v>138</v>
      </c>
      <c r="B24" s="1">
        <v>0.52119199999999999</v>
      </c>
      <c r="C24" s="1">
        <v>0.44175700000000001</v>
      </c>
      <c r="D24" s="1">
        <v>3128.97</v>
      </c>
      <c r="E24" s="1">
        <v>0.20005999999999999</v>
      </c>
      <c r="F24" s="1">
        <v>15</v>
      </c>
    </row>
    <row r="25" spans="1:6" x14ac:dyDescent="0.2">
      <c r="A25" s="1" t="s">
        <v>67</v>
      </c>
      <c r="B25" s="1">
        <v>35.153399999999998</v>
      </c>
      <c r="C25" s="1">
        <v>1.6926300000000001</v>
      </c>
      <c r="D25" s="1">
        <v>3129.77</v>
      </c>
      <c r="E25" s="1">
        <v>1.00528</v>
      </c>
      <c r="F25" s="1">
        <v>35</v>
      </c>
    </row>
    <row r="26" spans="1:6" x14ac:dyDescent="0.2">
      <c r="A26" s="1" t="s">
        <v>139</v>
      </c>
      <c r="B26" s="1">
        <v>35.153399999999998</v>
      </c>
      <c r="C26" s="1">
        <v>1.6926300000000001</v>
      </c>
      <c r="D26" s="1">
        <v>3129.77</v>
      </c>
      <c r="E26" s="1">
        <v>1.00528</v>
      </c>
      <c r="F26" s="1">
        <v>35</v>
      </c>
    </row>
    <row r="27" spans="1:6" x14ac:dyDescent="0.2">
      <c r="A27" s="1" t="s">
        <v>150</v>
      </c>
      <c r="B27" s="1">
        <v>9.7648399999999995</v>
      </c>
      <c r="C27" s="1">
        <v>0.959063</v>
      </c>
      <c r="D27" s="1">
        <v>3129.41</v>
      </c>
      <c r="E27" s="1">
        <v>0.63984799999999997</v>
      </c>
      <c r="F27" s="1">
        <v>85</v>
      </c>
    </row>
    <row r="28" spans="1:6" x14ac:dyDescent="0.2">
      <c r="A28" s="1" t="s">
        <v>71</v>
      </c>
      <c r="B28" s="1">
        <v>4.86944</v>
      </c>
      <c r="C28" s="1">
        <v>0.95939300000000005</v>
      </c>
      <c r="D28" s="1">
        <v>3129.19</v>
      </c>
      <c r="E28" s="1">
        <v>0.42424000000000001</v>
      </c>
      <c r="F28" s="1">
        <v>20</v>
      </c>
    </row>
    <row r="29" spans="1:6" x14ac:dyDescent="0.2">
      <c r="A29" s="1" t="s">
        <v>72</v>
      </c>
      <c r="B29" s="1">
        <v>15.1532</v>
      </c>
      <c r="C29" s="1">
        <v>1.1069100000000001</v>
      </c>
      <c r="D29" s="1">
        <v>3129.55</v>
      </c>
      <c r="E29" s="1">
        <v>0.78568800000000005</v>
      </c>
      <c r="F29" s="1">
        <v>45</v>
      </c>
    </row>
    <row r="30" spans="1:6" x14ac:dyDescent="0.2">
      <c r="A30" s="1" t="s">
        <v>74</v>
      </c>
      <c r="B30" s="1">
        <v>42.001100000000001</v>
      </c>
      <c r="C30" s="1">
        <v>1.35111</v>
      </c>
      <c r="D30" s="1">
        <v>3129.86</v>
      </c>
      <c r="E30" s="1">
        <v>1.08786</v>
      </c>
      <c r="F30" s="1">
        <v>75</v>
      </c>
    </row>
    <row r="31" spans="1:6" x14ac:dyDescent="0.2">
      <c r="A31" s="1" t="s">
        <v>78</v>
      </c>
      <c r="B31" s="1">
        <v>14.6782</v>
      </c>
      <c r="C31" s="1">
        <v>1.36412</v>
      </c>
      <c r="D31" s="1">
        <v>3129.45</v>
      </c>
      <c r="E31" s="1">
        <v>0.68403599999999998</v>
      </c>
      <c r="F31" s="1">
        <v>25</v>
      </c>
    </row>
    <row r="32" spans="1:6" x14ac:dyDescent="0.2">
      <c r="A32" s="1" t="s">
        <v>80</v>
      </c>
      <c r="B32" s="1">
        <v>35.153399999999998</v>
      </c>
      <c r="C32" s="1">
        <v>1.6926300000000001</v>
      </c>
      <c r="D32" s="1">
        <v>3129.77</v>
      </c>
      <c r="E32" s="1">
        <v>1.00528</v>
      </c>
      <c r="F32" s="1">
        <v>35</v>
      </c>
    </row>
    <row r="33" spans="1:6" x14ac:dyDescent="0.2">
      <c r="A33" s="1" t="s">
        <v>82</v>
      </c>
      <c r="B33" s="1">
        <v>35.153399999999998</v>
      </c>
      <c r="C33" s="1">
        <v>1.6926300000000001</v>
      </c>
      <c r="D33" s="1">
        <v>3129.77</v>
      </c>
      <c r="E33" s="1">
        <v>1.00528</v>
      </c>
      <c r="F33" s="1">
        <v>35</v>
      </c>
    </row>
    <row r="34" spans="1:6" x14ac:dyDescent="0.2">
      <c r="A34" s="1" t="s">
        <v>84</v>
      </c>
      <c r="B34" s="1">
        <v>4.86944</v>
      </c>
      <c r="C34" s="1">
        <v>0.95939300000000005</v>
      </c>
      <c r="D34" s="1">
        <v>3129.19</v>
      </c>
      <c r="E34" s="1">
        <v>0.42424000000000001</v>
      </c>
      <c r="F34" s="1">
        <v>20</v>
      </c>
    </row>
    <row r="35" spans="1:6" x14ac:dyDescent="0.2">
      <c r="A35" s="1" t="s">
        <v>85</v>
      </c>
      <c r="B35" s="1">
        <v>0.52119199999999999</v>
      </c>
      <c r="C35" s="1">
        <v>0.44175700000000001</v>
      </c>
      <c r="D35" s="1">
        <v>3128.97</v>
      </c>
      <c r="E35" s="1">
        <v>0.20005999999999999</v>
      </c>
      <c r="F35" s="1">
        <v>15</v>
      </c>
    </row>
    <row r="36" spans="1:6" x14ac:dyDescent="0.2">
      <c r="A36" s="1" t="s">
        <v>86</v>
      </c>
      <c r="B36" s="1">
        <v>0.110001</v>
      </c>
      <c r="C36" s="1">
        <v>0.28395700000000001</v>
      </c>
      <c r="D36" s="1">
        <v>3128.9</v>
      </c>
      <c r="E36" s="1">
        <v>0.133604</v>
      </c>
      <c r="F36" s="1">
        <v>10</v>
      </c>
    </row>
    <row r="37" spans="1:6" x14ac:dyDescent="0.2">
      <c r="A37" s="1" t="s">
        <v>87</v>
      </c>
      <c r="B37" s="1">
        <v>14.6782</v>
      </c>
      <c r="C37" s="1">
        <v>1.36412</v>
      </c>
      <c r="D37" s="1">
        <v>3129.45</v>
      </c>
      <c r="E37" s="1">
        <v>0.68403599999999998</v>
      </c>
      <c r="F37" s="1">
        <v>25</v>
      </c>
    </row>
    <row r="38" spans="1:6" x14ac:dyDescent="0.2">
      <c r="A38" s="1" t="s">
        <v>90</v>
      </c>
      <c r="B38" s="1">
        <v>15.1532</v>
      </c>
      <c r="C38" s="1">
        <v>1.1069100000000001</v>
      </c>
      <c r="D38" s="1">
        <v>3129.55</v>
      </c>
      <c r="E38" s="1">
        <v>0.78568800000000005</v>
      </c>
      <c r="F38" s="1">
        <v>45</v>
      </c>
    </row>
    <row r="39" spans="1:6" x14ac:dyDescent="0.2">
      <c r="A39" s="1" t="s">
        <v>93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</row>
    <row r="40" spans="1:6" x14ac:dyDescent="0.2">
      <c r="A40" s="1" t="s">
        <v>141</v>
      </c>
      <c r="B40" s="1">
        <v>12.131500000000001</v>
      </c>
      <c r="C40" s="1">
        <v>1.0331999999999999</v>
      </c>
      <c r="D40" s="1">
        <v>3129.39</v>
      </c>
      <c r="E40" s="1">
        <v>0.61724800000000002</v>
      </c>
      <c r="F40" s="1">
        <v>115</v>
      </c>
    </row>
    <row r="41" spans="1:6" x14ac:dyDescent="0.2">
      <c r="A41" s="1" t="s">
        <v>103</v>
      </c>
      <c r="B41" s="1">
        <v>19.401800000000001</v>
      </c>
      <c r="C41" s="1">
        <v>1.02163</v>
      </c>
      <c r="D41" s="1">
        <v>3129.67</v>
      </c>
      <c r="E41" s="1">
        <v>0.899756</v>
      </c>
      <c r="F41" s="1">
        <v>70</v>
      </c>
    </row>
    <row r="42" spans="1:6" x14ac:dyDescent="0.2">
      <c r="A42" s="1" t="s">
        <v>160</v>
      </c>
      <c r="B42" s="1">
        <v>9.7648399999999995</v>
      </c>
      <c r="C42" s="1">
        <v>0.959063</v>
      </c>
      <c r="D42" s="1">
        <v>3129.41</v>
      </c>
      <c r="E42" s="1">
        <v>0.63984799999999997</v>
      </c>
      <c r="F42" s="1">
        <v>85</v>
      </c>
    </row>
    <row r="43" spans="1:6" x14ac:dyDescent="0.2">
      <c r="A43" s="1" t="s">
        <v>156</v>
      </c>
      <c r="B43" s="1">
        <v>0.52119199999999999</v>
      </c>
      <c r="C43" s="1">
        <v>0.44175700000000001</v>
      </c>
      <c r="D43" s="1">
        <v>3128.97</v>
      </c>
      <c r="E43" s="1">
        <v>0.20005999999999999</v>
      </c>
      <c r="F43" s="1">
        <v>15</v>
      </c>
    </row>
    <row r="44" spans="1:6" x14ac:dyDescent="0.2">
      <c r="A44" s="1" t="s">
        <v>107</v>
      </c>
      <c r="B44" s="1">
        <v>15.1532</v>
      </c>
      <c r="C44" s="1">
        <v>1.1069100000000001</v>
      </c>
      <c r="D44" s="1">
        <v>3129.55</v>
      </c>
      <c r="E44" s="1">
        <v>0.78568800000000005</v>
      </c>
      <c r="F44" s="1">
        <v>45</v>
      </c>
    </row>
    <row r="45" spans="1:6" x14ac:dyDescent="0.2">
      <c r="A45" s="1" t="s">
        <v>109</v>
      </c>
      <c r="B45" s="1">
        <v>9.7648399999999995</v>
      </c>
      <c r="C45" s="1">
        <v>0.959063</v>
      </c>
      <c r="D45" s="1">
        <v>3129.41</v>
      </c>
      <c r="E45" s="1">
        <v>0.63984799999999997</v>
      </c>
      <c r="F45" s="1">
        <v>85</v>
      </c>
    </row>
    <row r="46" spans="1:6" x14ac:dyDescent="0.2">
      <c r="A46" s="1" t="s">
        <v>111</v>
      </c>
      <c r="B46" s="1">
        <v>4.86944</v>
      </c>
      <c r="C46" s="1">
        <v>0.95939300000000005</v>
      </c>
      <c r="D46" s="1">
        <v>3129.19</v>
      </c>
      <c r="E46" s="1">
        <v>0.42424000000000001</v>
      </c>
      <c r="F46" s="1">
        <v>20</v>
      </c>
    </row>
    <row r="47" spans="1:6" x14ac:dyDescent="0.2">
      <c r="A47" s="1" t="s">
        <v>8</v>
      </c>
      <c r="B47" s="1">
        <v>14.6782</v>
      </c>
      <c r="C47" s="1">
        <v>1.36412</v>
      </c>
      <c r="D47" s="1">
        <v>3129.45</v>
      </c>
      <c r="E47" s="1">
        <v>0.68403599999999998</v>
      </c>
      <c r="F47" s="1">
        <v>25</v>
      </c>
    </row>
    <row r="48" spans="1:6" x14ac:dyDescent="0.2">
      <c r="A48" s="1" t="s">
        <v>9</v>
      </c>
      <c r="B48" s="1">
        <v>42.001100000000001</v>
      </c>
      <c r="C48" s="1">
        <v>1.35111</v>
      </c>
      <c r="D48" s="1">
        <v>3129.86</v>
      </c>
      <c r="E48" s="1">
        <v>1.08786</v>
      </c>
      <c r="F48" s="1">
        <v>75</v>
      </c>
    </row>
    <row r="49" spans="1:6" x14ac:dyDescent="0.2">
      <c r="A49" s="1" t="s">
        <v>115</v>
      </c>
      <c r="B49" s="1">
        <v>0.52119199999999999</v>
      </c>
      <c r="C49" s="1">
        <v>0.44175700000000001</v>
      </c>
      <c r="D49" s="1">
        <v>3128.97</v>
      </c>
      <c r="E49" s="1">
        <v>0.20005999999999999</v>
      </c>
      <c r="F49" s="1">
        <v>15</v>
      </c>
    </row>
    <row r="50" spans="1:6" x14ac:dyDescent="0.2">
      <c r="A50" s="1" t="s">
        <v>144</v>
      </c>
      <c r="B50" s="1">
        <v>0.110001</v>
      </c>
      <c r="C50" s="1">
        <v>0.28395700000000001</v>
      </c>
      <c r="D50" s="1">
        <v>3128.9</v>
      </c>
      <c r="E50" s="1">
        <v>0.133604</v>
      </c>
      <c r="F50" s="1">
        <v>10</v>
      </c>
    </row>
    <row r="51" spans="1:6" x14ac:dyDescent="0.2">
      <c r="A51" s="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</row>
    <row r="52" spans="1:6" x14ac:dyDescent="0.2">
      <c r="A52" s="1" t="s">
        <v>16</v>
      </c>
      <c r="B52" s="1">
        <v>49.294899999999998</v>
      </c>
      <c r="C52" s="1">
        <v>1.20852</v>
      </c>
      <c r="D52" s="1">
        <v>3129.75</v>
      </c>
      <c r="E52" s="1">
        <v>0.98083200000000004</v>
      </c>
      <c r="F52" s="1">
        <v>125</v>
      </c>
    </row>
    <row r="53" spans="1:6" x14ac:dyDescent="0.2">
      <c r="A53" s="1" t="s">
        <v>21</v>
      </c>
      <c r="B53" s="1">
        <v>4.86944</v>
      </c>
      <c r="C53" s="1">
        <v>0.95939300000000005</v>
      </c>
      <c r="D53" s="1">
        <v>3129.19</v>
      </c>
      <c r="E53" s="1">
        <v>0.42424000000000001</v>
      </c>
      <c r="F53" s="1">
        <v>20</v>
      </c>
    </row>
    <row r="54" spans="1:6" x14ac:dyDescent="0.2">
      <c r="A54" s="1" t="s">
        <v>22</v>
      </c>
      <c r="B54" s="1">
        <v>14.6782</v>
      </c>
      <c r="C54" s="1">
        <v>1.36412</v>
      </c>
      <c r="D54" s="1">
        <v>3129.45</v>
      </c>
      <c r="E54" s="1">
        <v>0.68403599999999998</v>
      </c>
      <c r="F54" s="1">
        <v>25</v>
      </c>
    </row>
    <row r="55" spans="1:6" x14ac:dyDescent="0.2">
      <c r="A55" s="1" t="s">
        <v>145</v>
      </c>
      <c r="B55" s="1">
        <v>9.7648399999999995</v>
      </c>
      <c r="C55" s="1">
        <v>0.959063</v>
      </c>
      <c r="D55" s="1">
        <v>3129.41</v>
      </c>
      <c r="E55" s="1">
        <v>0.63984799999999997</v>
      </c>
      <c r="F55" s="1">
        <v>85</v>
      </c>
    </row>
    <row r="56" spans="1:6" x14ac:dyDescent="0.2">
      <c r="A56" s="1" t="s">
        <v>126</v>
      </c>
      <c r="B56" s="1">
        <v>15.1532</v>
      </c>
      <c r="C56" s="1">
        <v>1.1069100000000001</v>
      </c>
      <c r="D56" s="1">
        <v>3129.55</v>
      </c>
      <c r="E56" s="1">
        <v>0.78568800000000005</v>
      </c>
      <c r="F56" s="1">
        <v>45</v>
      </c>
    </row>
    <row r="57" spans="1:6" x14ac:dyDescent="0.2">
      <c r="A57" s="1" t="s">
        <v>23</v>
      </c>
      <c r="B57" s="1">
        <v>0.110001</v>
      </c>
      <c r="C57" s="1">
        <v>0.28395700000000001</v>
      </c>
      <c r="D57" s="1">
        <v>3128.9</v>
      </c>
      <c r="E57" s="1">
        <v>0.133604</v>
      </c>
      <c r="F57" s="1">
        <v>10</v>
      </c>
    </row>
    <row r="58" spans="1:6" x14ac:dyDescent="0.2">
      <c r="A58" s="1" t="s">
        <v>146</v>
      </c>
      <c r="B58" s="1">
        <v>15.1532</v>
      </c>
      <c r="C58" s="1">
        <v>1.1069100000000001</v>
      </c>
      <c r="D58" s="1">
        <v>3129.55</v>
      </c>
      <c r="E58" s="1">
        <v>0.78568800000000005</v>
      </c>
      <c r="F58" s="1">
        <v>45</v>
      </c>
    </row>
    <row r="59" spans="1:6" x14ac:dyDescent="0.2">
      <c r="A59" s="1" t="s">
        <v>24</v>
      </c>
      <c r="B59" s="1">
        <v>42.001100000000001</v>
      </c>
      <c r="C59" s="1">
        <v>1.35111</v>
      </c>
      <c r="D59" s="1">
        <v>3129.86</v>
      </c>
      <c r="E59" s="1">
        <v>1.08786</v>
      </c>
      <c r="F59" s="1">
        <v>75</v>
      </c>
    </row>
    <row r="60" spans="1:6" x14ac:dyDescent="0.2">
      <c r="A60" s="1" t="s">
        <v>26</v>
      </c>
      <c r="B60" s="1">
        <v>0.16170599999999999</v>
      </c>
      <c r="C60" s="1">
        <v>0.429759</v>
      </c>
      <c r="D60" s="1">
        <v>3128.9</v>
      </c>
      <c r="E60" s="1">
        <v>0.133604</v>
      </c>
      <c r="F60" s="1">
        <v>5</v>
      </c>
    </row>
    <row r="61" spans="1:6" x14ac:dyDescent="0.2">
      <c r="A61" s="1" t="s">
        <v>29</v>
      </c>
      <c r="B61" s="1">
        <v>4.86944</v>
      </c>
      <c r="C61" s="1">
        <v>0.95939300000000005</v>
      </c>
      <c r="D61" s="1">
        <v>3129.19</v>
      </c>
      <c r="E61" s="1">
        <v>0.42424000000000001</v>
      </c>
      <c r="F61" s="1">
        <v>20</v>
      </c>
    </row>
    <row r="62" spans="1:6" x14ac:dyDescent="0.2">
      <c r="A62" s="1" t="s">
        <v>30</v>
      </c>
      <c r="B62" s="1">
        <v>54.857199999999999</v>
      </c>
      <c r="C62" s="1">
        <v>1.93391</v>
      </c>
      <c r="D62" s="1">
        <v>3129.98</v>
      </c>
      <c r="E62" s="1">
        <v>1.21254</v>
      </c>
      <c r="F62" s="1">
        <v>40</v>
      </c>
    </row>
    <row r="63" spans="1:6" x14ac:dyDescent="0.2">
      <c r="A63" s="1" t="s">
        <v>128</v>
      </c>
      <c r="B63" s="1">
        <v>14.6782</v>
      </c>
      <c r="C63" s="1">
        <v>1.36412</v>
      </c>
      <c r="D63" s="1">
        <v>3129.45</v>
      </c>
      <c r="E63" s="1">
        <v>0.68403599999999998</v>
      </c>
      <c r="F63" s="1">
        <v>25</v>
      </c>
    </row>
    <row r="64" spans="1:6" x14ac:dyDescent="0.2">
      <c r="A64" s="1" t="s">
        <v>131</v>
      </c>
      <c r="B64" s="1">
        <v>108.496</v>
      </c>
      <c r="C64" s="1">
        <v>1.5077100000000001</v>
      </c>
      <c r="D64" s="1">
        <v>3129.96</v>
      </c>
      <c r="E64" s="1">
        <v>1.1939599999999999</v>
      </c>
      <c r="F64" s="1">
        <v>145</v>
      </c>
    </row>
    <row r="65" spans="1:6" x14ac:dyDescent="0.2">
      <c r="A65" s="1" t="s">
        <v>31</v>
      </c>
      <c r="B65" s="1">
        <v>14.6782</v>
      </c>
      <c r="C65" s="1">
        <v>1.36412</v>
      </c>
      <c r="D65" s="1">
        <v>3129.45</v>
      </c>
      <c r="E65" s="1">
        <v>0.68403599999999998</v>
      </c>
      <c r="F65" s="1">
        <v>25</v>
      </c>
    </row>
    <row r="66" spans="1:6" x14ac:dyDescent="0.2">
      <c r="A66" s="1" t="s">
        <v>133</v>
      </c>
      <c r="B66" s="1">
        <v>35.153399999999998</v>
      </c>
      <c r="C66" s="1">
        <v>1.6926300000000001</v>
      </c>
      <c r="D66" s="1">
        <v>3129.77</v>
      </c>
      <c r="E66" s="1">
        <v>1.00528</v>
      </c>
      <c r="F66" s="1">
        <v>35</v>
      </c>
    </row>
    <row r="67" spans="1:6" x14ac:dyDescent="0.2">
      <c r="A67" s="1" t="s">
        <v>134</v>
      </c>
      <c r="B67" s="1">
        <v>54.857199999999999</v>
      </c>
      <c r="C67" s="1">
        <v>1.93391</v>
      </c>
      <c r="D67" s="1">
        <v>3129.98</v>
      </c>
      <c r="E67" s="1">
        <v>1.21254</v>
      </c>
      <c r="F67" s="1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2017112201p</vt:lpstr>
      <vt:lpstr>2017112202-1</vt:lpstr>
      <vt:lpstr>2017112203P</vt:lpstr>
      <vt:lpstr>2017112204p</vt:lpstr>
      <vt:lpstr>2017112205</vt:lpstr>
      <vt:lpstr>2017112206p</vt:lpstr>
      <vt:lpstr>2017112301</vt:lpstr>
      <vt:lpstr>2017112302</vt:lpstr>
      <vt:lpstr>2017112303</vt:lpstr>
      <vt:lpstr>2017112304p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2023-12-26T13:51:50Z</dcterms:modified>
</cp:coreProperties>
</file>